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linova-my.sharepoint.com/personal/tamay_altikardes_klinova_ch/Documents/Desktop/Vorlagen/01_Berechnungen/01_Luftmengenberechnung/Hallenbad/"/>
    </mc:Choice>
  </mc:AlternateContent>
  <xr:revisionPtr revIDLastSave="51" documentId="11_1F2496A7285C0B06A9E626826A08DBA1922EE0F0" xr6:coauthVersionLast="47" xr6:coauthVersionMax="47" xr10:uidLastSave="{0BFFA44F-7C4A-49E7-B52E-B976A755400B}"/>
  <bookViews>
    <workbookView xWindow="-38520" yWindow="60" windowWidth="38640" windowHeight="21120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" i="1" l="1"/>
  <c r="D72" i="1"/>
  <c r="D105" i="1" l="1"/>
  <c r="D106" i="1" s="1"/>
  <c r="D103" i="1"/>
  <c r="D104" i="1" s="1"/>
  <c r="D99" i="1"/>
  <c r="D100" i="1" s="1"/>
  <c r="D101" i="1" s="1"/>
  <c r="D78" i="1"/>
  <c r="D79" i="1" s="1"/>
  <c r="D80" i="1" s="1"/>
  <c r="D73" i="1"/>
  <c r="D74" i="1" s="1"/>
  <c r="D75" i="1" s="1"/>
  <c r="D76" i="1"/>
  <c r="D77" i="1" s="1"/>
  <c r="D102" i="1" l="1"/>
  <c r="D110" i="1"/>
  <c r="D109" i="1"/>
  <c r="D107" i="1"/>
  <c r="D23" i="1"/>
  <c r="D27" i="1"/>
  <c r="D28" i="1" s="1"/>
  <c r="D29" i="1" s="1"/>
  <c r="D24" i="1" l="1"/>
  <c r="D25" i="1" s="1"/>
  <c r="D26" i="1" l="1"/>
  <c r="D33" i="1" l="1"/>
  <c r="D32" i="1"/>
  <c r="D48" i="1" s="1"/>
  <c r="D49" i="1" l="1"/>
  <c r="D50" i="1" s="1"/>
  <c r="D51" i="1"/>
  <c r="D52" i="1" s="1"/>
  <c r="D53" i="1" s="1"/>
</calcChain>
</file>

<file path=xl/sharedStrings.xml><?xml version="1.0" encoding="utf-8"?>
<sst xmlns="http://schemas.openxmlformats.org/spreadsheetml/2006/main" count="355" uniqueCount="145">
  <si>
    <t>Hallenbad</t>
  </si>
  <si>
    <t xml:space="preserve">Gegebene Werte </t>
  </si>
  <si>
    <t>Sättigungsdruck bei der gegebenen Beckenwassertemperatur</t>
  </si>
  <si>
    <t xml:space="preserve">Sättigungsdruck bei der gegebenen Raumlufttemperatur </t>
  </si>
  <si>
    <t>Wasserdampfgehalt der Zuluft</t>
  </si>
  <si>
    <t>Dichte der Zuluft</t>
  </si>
  <si>
    <t xml:space="preserve">Korrekturfaktor für die Rinnenform </t>
  </si>
  <si>
    <t>Gesamtverdunstungsbeiwert (ruhebetrieb)</t>
  </si>
  <si>
    <t>Gesamtverdunstungsbeiwert (Badebetrieb)</t>
  </si>
  <si>
    <t>Einheit</t>
  </si>
  <si>
    <t>Zeichen</t>
  </si>
  <si>
    <t>Beckenwassertemperatur (Ausbildungsbecken)</t>
  </si>
  <si>
    <t>Beckenwassertemperatur (Schwimmbecken)</t>
  </si>
  <si>
    <r>
      <rPr>
        <b/>
        <sz val="11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>Aul</t>
    </r>
  </si>
  <si>
    <t>g/kg</t>
  </si>
  <si>
    <t>Max. Wasserdampfgehalt in der Raumluft (Kap. 3.1 SWKI)</t>
  </si>
  <si>
    <t>r.F</t>
  </si>
  <si>
    <r>
      <rPr>
        <b/>
        <sz val="11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>R</t>
    </r>
  </si>
  <si>
    <t>°C</t>
  </si>
  <si>
    <t>m²</t>
  </si>
  <si>
    <t>A</t>
  </si>
  <si>
    <t>(a*b= A )</t>
  </si>
  <si>
    <t xml:space="preserve">Beckenwasseroberfläche Schwimmbecken </t>
  </si>
  <si>
    <t>Beckenwasseroberfläche Ausbildungsbecken</t>
  </si>
  <si>
    <t>Beckenwasseroberfläche Kinderbecken</t>
  </si>
  <si>
    <t>f</t>
  </si>
  <si>
    <t>g/m²h mbar</t>
  </si>
  <si>
    <t>Gesamtverdunstungsbeiwert (Durchschnittlicher Betrieb)</t>
  </si>
  <si>
    <t>Bodenfläche Kinderbecken</t>
  </si>
  <si>
    <t xml:space="preserve">Bodenfläche  Schwimmbecken </t>
  </si>
  <si>
    <t>Bodenfläche Ausbildungsbecken</t>
  </si>
  <si>
    <t>Sättigungsdruck bei der gegebenen Beckenwassertemperatur (Ausb.)</t>
  </si>
  <si>
    <t>mBar</t>
  </si>
  <si>
    <r>
      <t>P</t>
    </r>
    <r>
      <rPr>
        <sz val="8"/>
        <rFont val="Calibri"/>
        <family val="2"/>
        <scheme val="minor"/>
      </rPr>
      <t>sB</t>
    </r>
  </si>
  <si>
    <t>(gem. s.10 SWKI 2004-1)</t>
  </si>
  <si>
    <t>Raumlufttemperatur Schwimmhalle</t>
  </si>
  <si>
    <t>Beckenwassertemperatur (Kinderbecken)</t>
  </si>
  <si>
    <t>(gem. s.12 SWKI 2004-1)</t>
  </si>
  <si>
    <r>
      <t>t</t>
    </r>
    <r>
      <rPr>
        <sz val="8"/>
        <color theme="1"/>
        <rFont val="Calibri"/>
        <family val="2"/>
        <scheme val="minor"/>
      </rPr>
      <t>KB</t>
    </r>
  </si>
  <si>
    <t>Schwimmbecken</t>
  </si>
  <si>
    <t>Kinderbecken</t>
  </si>
  <si>
    <r>
      <t>Ꜫ</t>
    </r>
    <r>
      <rPr>
        <sz val="8"/>
        <color theme="1"/>
        <rFont val="Calibri"/>
        <family val="2"/>
      </rPr>
      <t>1.1</t>
    </r>
  </si>
  <si>
    <r>
      <t>Ꜫ</t>
    </r>
    <r>
      <rPr>
        <sz val="8"/>
        <color theme="1"/>
        <rFont val="Calibri"/>
        <family val="2"/>
      </rPr>
      <t>2.1</t>
    </r>
  </si>
  <si>
    <r>
      <t>Ꜫ</t>
    </r>
    <r>
      <rPr>
        <sz val="8"/>
        <color theme="1"/>
        <rFont val="Calibri"/>
        <family val="2"/>
      </rPr>
      <t>3.1</t>
    </r>
  </si>
  <si>
    <r>
      <t>Ꜫ</t>
    </r>
    <r>
      <rPr>
        <sz val="8"/>
        <color theme="1"/>
        <rFont val="Calibri"/>
        <family val="2"/>
      </rPr>
      <t>1.2</t>
    </r>
  </si>
  <si>
    <r>
      <t>Ꜫ</t>
    </r>
    <r>
      <rPr>
        <sz val="8"/>
        <color theme="1"/>
        <rFont val="Calibri"/>
        <family val="2"/>
      </rPr>
      <t>2.2</t>
    </r>
  </si>
  <si>
    <r>
      <t>Ꜫ</t>
    </r>
    <r>
      <rPr>
        <sz val="8"/>
        <color theme="1"/>
        <rFont val="Calibri"/>
        <family val="2"/>
      </rPr>
      <t>3.2</t>
    </r>
  </si>
  <si>
    <r>
      <t xml:space="preserve">ϱ </t>
    </r>
    <r>
      <rPr>
        <sz val="11"/>
        <color theme="1"/>
        <rFont val="Calibri"/>
        <family val="2"/>
        <scheme val="minor"/>
      </rPr>
      <t>(Rho)</t>
    </r>
  </si>
  <si>
    <r>
      <t>P</t>
    </r>
    <r>
      <rPr>
        <sz val="8"/>
        <color theme="1"/>
        <rFont val="Calibri"/>
        <family val="2"/>
        <scheme val="minor"/>
      </rPr>
      <t>D</t>
    </r>
  </si>
  <si>
    <r>
      <t>P</t>
    </r>
    <r>
      <rPr>
        <sz val="8"/>
        <color theme="1"/>
        <rFont val="Calibri"/>
        <family val="2"/>
      </rPr>
      <t>D</t>
    </r>
  </si>
  <si>
    <t>tS</t>
  </si>
  <si>
    <t>Ausbildungsbecken</t>
  </si>
  <si>
    <r>
      <rPr>
        <b/>
        <sz val="11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SB</t>
    </r>
  </si>
  <si>
    <r>
      <rPr>
        <b/>
        <sz val="11"/>
        <color theme="1"/>
        <rFont val="Calibri"/>
        <family val="2"/>
        <scheme val="minor"/>
      </rPr>
      <t xml:space="preserve">t </t>
    </r>
    <r>
      <rPr>
        <sz val="8"/>
        <color theme="1"/>
        <rFont val="Calibri"/>
        <family val="2"/>
        <scheme val="minor"/>
      </rPr>
      <t>AB</t>
    </r>
  </si>
  <si>
    <r>
      <t>t</t>
    </r>
    <r>
      <rPr>
        <sz val="8"/>
        <color theme="1"/>
        <rFont val="Calibri"/>
        <family val="2"/>
        <scheme val="minor"/>
      </rPr>
      <t>BW</t>
    </r>
  </si>
  <si>
    <r>
      <t>A</t>
    </r>
    <r>
      <rPr>
        <sz val="8"/>
        <color theme="1"/>
        <rFont val="Calibri"/>
        <family val="2"/>
        <scheme val="minor"/>
      </rPr>
      <t xml:space="preserve"> BF</t>
    </r>
  </si>
  <si>
    <r>
      <t>A</t>
    </r>
    <r>
      <rPr>
        <sz val="8"/>
        <color theme="1"/>
        <rFont val="Calibri"/>
        <family val="2"/>
        <scheme val="minor"/>
      </rPr>
      <t>BF</t>
    </r>
  </si>
  <si>
    <r>
      <t xml:space="preserve">A </t>
    </r>
    <r>
      <rPr>
        <sz val="8"/>
        <color theme="1"/>
        <rFont val="Calibri"/>
        <family val="2"/>
        <scheme val="minor"/>
      </rPr>
      <t>BF</t>
    </r>
  </si>
  <si>
    <r>
      <t>Ꜫ</t>
    </r>
    <r>
      <rPr>
        <sz val="8"/>
        <color theme="1"/>
        <rFont val="Calibri"/>
        <family val="2"/>
      </rPr>
      <t>2.0</t>
    </r>
  </si>
  <si>
    <r>
      <t>Ꜫ</t>
    </r>
    <r>
      <rPr>
        <sz val="8"/>
        <color theme="1"/>
        <rFont val="Calibri"/>
        <family val="2"/>
      </rPr>
      <t>3.0</t>
    </r>
  </si>
  <si>
    <r>
      <t>m'</t>
    </r>
    <r>
      <rPr>
        <sz val="8"/>
        <color theme="1"/>
        <rFont val="Calibri"/>
        <family val="2"/>
        <scheme val="minor"/>
      </rPr>
      <t>V 1.0</t>
    </r>
  </si>
  <si>
    <r>
      <t>m'</t>
    </r>
    <r>
      <rPr>
        <sz val="8"/>
        <color theme="1"/>
        <rFont val="Calibri"/>
        <family val="2"/>
        <scheme val="minor"/>
      </rPr>
      <t>V 1.1</t>
    </r>
  </si>
  <si>
    <r>
      <t>m'</t>
    </r>
    <r>
      <rPr>
        <sz val="8"/>
        <color theme="1"/>
        <rFont val="Calibri"/>
        <family val="2"/>
        <scheme val="minor"/>
      </rPr>
      <t>V 3.0</t>
    </r>
  </si>
  <si>
    <r>
      <t>m'</t>
    </r>
    <r>
      <rPr>
        <sz val="8"/>
        <color theme="1"/>
        <rFont val="Calibri"/>
        <family val="2"/>
        <scheme val="minor"/>
      </rPr>
      <t>V 3.1</t>
    </r>
  </si>
  <si>
    <r>
      <t xml:space="preserve">Zuluftmenge zur Entfeuchtung:
</t>
    </r>
    <r>
      <rPr>
        <sz val="11"/>
        <color theme="1"/>
        <rFont val="Calibri"/>
        <family val="2"/>
        <scheme val="minor"/>
      </rPr>
      <t>m'</t>
    </r>
    <r>
      <rPr>
        <sz val="8"/>
        <color theme="1"/>
        <rFont val="Calibri"/>
        <family val="2"/>
        <scheme val="minor"/>
      </rPr>
      <t xml:space="preserve">z </t>
    </r>
    <r>
      <rPr>
        <sz val="11"/>
        <color theme="1"/>
        <rFont val="Calibri"/>
        <family val="2"/>
        <scheme val="minor"/>
      </rPr>
      <t>= m'</t>
    </r>
    <r>
      <rPr>
        <sz val="8"/>
        <color theme="1"/>
        <rFont val="Calibri"/>
        <family val="2"/>
        <scheme val="minor"/>
      </rPr>
      <t>k,v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-X</t>
    </r>
    <r>
      <rPr>
        <sz val="8"/>
        <color theme="1"/>
        <rFont val="Calibri"/>
        <family val="2"/>
        <scheme val="minor"/>
      </rPr>
      <t xml:space="preserve">Z </t>
    </r>
  </si>
  <si>
    <t>(gem. s.18 SWKI 2004-1)</t>
  </si>
  <si>
    <r>
      <rPr>
        <b/>
        <sz val="11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>Aul (Xz)</t>
    </r>
  </si>
  <si>
    <r>
      <t xml:space="preserve">Zuluftmenge zur Entfeuchtung 
</t>
    </r>
    <r>
      <rPr>
        <sz val="11"/>
        <color theme="1"/>
        <rFont val="Calibri"/>
        <family val="2"/>
        <scheme val="minor"/>
      </rPr>
      <t>m'</t>
    </r>
    <r>
      <rPr>
        <sz val="8"/>
        <color theme="1"/>
        <rFont val="Calibri"/>
        <family val="2"/>
        <scheme val="minor"/>
      </rPr>
      <t xml:space="preserve">z </t>
    </r>
    <r>
      <rPr>
        <sz val="11"/>
        <color theme="1"/>
        <rFont val="Calibri"/>
        <family val="2"/>
        <scheme val="minor"/>
      </rPr>
      <t>= m'</t>
    </r>
    <r>
      <rPr>
        <sz val="8"/>
        <color theme="1"/>
        <rFont val="Calibri"/>
        <family val="2"/>
        <scheme val="minor"/>
      </rPr>
      <t>k,v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-X</t>
    </r>
    <r>
      <rPr>
        <sz val="8"/>
        <color theme="1"/>
        <rFont val="Calibri"/>
        <family val="2"/>
        <scheme val="minor"/>
      </rPr>
      <t xml:space="preserve">Z </t>
    </r>
  </si>
  <si>
    <r>
      <t>m'</t>
    </r>
    <r>
      <rPr>
        <sz val="8"/>
        <color theme="1"/>
        <rFont val="Calibri"/>
        <family val="2"/>
        <scheme val="minor"/>
      </rPr>
      <t>z  1.0</t>
    </r>
  </si>
  <si>
    <r>
      <t>m'</t>
    </r>
    <r>
      <rPr>
        <sz val="8"/>
        <color theme="1"/>
        <rFont val="Calibri"/>
        <family val="2"/>
        <scheme val="minor"/>
      </rPr>
      <t>z 3.0</t>
    </r>
  </si>
  <si>
    <r>
      <t>m'</t>
    </r>
    <r>
      <rPr>
        <sz val="8"/>
        <color theme="1"/>
        <rFont val="Calibri"/>
        <family val="2"/>
        <scheme val="minor"/>
      </rPr>
      <t>z 1.1</t>
    </r>
  </si>
  <si>
    <r>
      <t>m'</t>
    </r>
    <r>
      <rPr>
        <sz val="8"/>
        <color theme="1"/>
        <rFont val="Calibri"/>
        <family val="2"/>
        <scheme val="minor"/>
      </rPr>
      <t>z 3.1</t>
    </r>
  </si>
  <si>
    <r>
      <t>m'</t>
    </r>
    <r>
      <rPr>
        <sz val="8"/>
        <color theme="1"/>
        <rFont val="Calibri"/>
        <family val="2"/>
        <scheme val="minor"/>
      </rPr>
      <t>z 1.3</t>
    </r>
  </si>
  <si>
    <r>
      <t>m'</t>
    </r>
    <r>
      <rPr>
        <sz val="8"/>
        <color theme="1"/>
        <rFont val="Calibri"/>
        <family val="2"/>
        <scheme val="minor"/>
      </rPr>
      <t>z 2.3</t>
    </r>
  </si>
  <si>
    <r>
      <t>m'</t>
    </r>
    <r>
      <rPr>
        <sz val="8"/>
        <color theme="1"/>
        <rFont val="Calibri"/>
        <family val="2"/>
        <scheme val="minor"/>
      </rPr>
      <t>z 3.3</t>
    </r>
  </si>
  <si>
    <t>rel. Feuchte der Raumluft</t>
  </si>
  <si>
    <t>%</t>
  </si>
  <si>
    <t xml:space="preserve">Max. Wasserdampfgehalt in der Raumluft </t>
  </si>
  <si>
    <t>(gem.s.8 Kap. 3.1 SWKI 2004-1)</t>
  </si>
  <si>
    <r>
      <t>m'</t>
    </r>
    <r>
      <rPr>
        <sz val="8"/>
        <color theme="1"/>
        <rFont val="Calibri"/>
        <family val="2"/>
        <scheme val="minor"/>
      </rPr>
      <t>V 1.3</t>
    </r>
  </si>
  <si>
    <r>
      <t>m'</t>
    </r>
    <r>
      <rPr>
        <sz val="8"/>
        <color theme="1"/>
        <rFont val="Calibri"/>
        <family val="2"/>
        <scheme val="minor"/>
      </rPr>
      <t>V 2.3</t>
    </r>
  </si>
  <si>
    <r>
      <t>m'</t>
    </r>
    <r>
      <rPr>
        <sz val="8"/>
        <color theme="1"/>
        <rFont val="Calibri"/>
        <family val="2"/>
        <scheme val="minor"/>
      </rPr>
      <t>V 3.3</t>
    </r>
  </si>
  <si>
    <r>
      <rPr>
        <b/>
        <sz val="12"/>
        <color theme="1"/>
        <rFont val="Calibri"/>
        <family val="2"/>
        <scheme val="minor"/>
      </rPr>
      <t>Ruhebetrieb:</t>
    </r>
    <r>
      <rPr>
        <b/>
        <sz val="11"/>
        <color theme="1"/>
        <rFont val="Calibri"/>
        <family val="2"/>
        <scheme val="minor"/>
      </rPr>
      <t xml:space="preserve">
Verdunstete Wassermenge = (Formel : m' = Ꜫ</t>
    </r>
    <r>
      <rPr>
        <b/>
        <sz val="8"/>
        <color theme="1"/>
        <rFont val="Calibri"/>
        <family val="2"/>
        <scheme val="minor"/>
      </rPr>
      <t>1.0</t>
    </r>
    <r>
      <rPr>
        <b/>
        <sz val="11"/>
        <color theme="1"/>
        <rFont val="Calibri"/>
        <family val="2"/>
        <scheme val="minor"/>
      </rPr>
      <t xml:space="preserve"> * A</t>
    </r>
    <r>
      <rPr>
        <b/>
        <sz val="8"/>
        <color theme="1"/>
        <rFont val="Calibri"/>
        <family val="2"/>
        <scheme val="minor"/>
      </rPr>
      <t>BW</t>
    </r>
    <r>
      <rPr>
        <b/>
        <sz val="11"/>
        <color theme="1"/>
        <rFont val="Calibri"/>
        <family val="2"/>
        <scheme val="minor"/>
      </rPr>
      <t xml:space="preserve"> (P</t>
    </r>
    <r>
      <rPr>
        <b/>
        <sz val="8"/>
        <color theme="1"/>
        <rFont val="Calibri"/>
        <family val="2"/>
        <scheme val="minor"/>
      </rPr>
      <t>S-</t>
    </r>
    <r>
      <rPr>
        <b/>
        <sz val="11"/>
        <color theme="1"/>
        <rFont val="Calibri"/>
        <family val="2"/>
        <scheme val="minor"/>
      </rPr>
      <t>P</t>
    </r>
    <r>
      <rPr>
        <b/>
        <sz val="8"/>
        <color theme="1"/>
        <rFont val="Calibri"/>
        <family val="2"/>
        <scheme val="minor"/>
      </rPr>
      <t>D) =</t>
    </r>
    <r>
      <rPr>
        <b/>
        <sz val="11"/>
        <color theme="1"/>
        <rFont val="Calibri"/>
        <family val="2"/>
        <scheme val="minor"/>
      </rPr>
      <t xml:space="preserve"> g/h)
</t>
    </r>
  </si>
  <si>
    <r>
      <rPr>
        <b/>
        <sz val="12"/>
        <color theme="1"/>
        <rFont val="Calibri"/>
        <family val="2"/>
        <scheme val="minor"/>
      </rPr>
      <t>Durchschnittlicher Betrieb:</t>
    </r>
    <r>
      <rPr>
        <b/>
        <sz val="11"/>
        <color theme="1"/>
        <rFont val="Calibri"/>
        <family val="2"/>
        <scheme val="minor"/>
      </rPr>
      <t xml:space="preserve">
Verdunstete Wassermenge = (Formel : m' = Ꜫ</t>
    </r>
    <r>
      <rPr>
        <b/>
        <sz val="8"/>
        <color theme="1"/>
        <rFont val="Calibri"/>
        <family val="2"/>
        <scheme val="minor"/>
      </rPr>
      <t>1.0</t>
    </r>
    <r>
      <rPr>
        <b/>
        <sz val="11"/>
        <color theme="1"/>
        <rFont val="Calibri"/>
        <family val="2"/>
        <scheme val="minor"/>
      </rPr>
      <t xml:space="preserve"> * A</t>
    </r>
    <r>
      <rPr>
        <b/>
        <sz val="8"/>
        <color theme="1"/>
        <rFont val="Calibri"/>
        <family val="2"/>
        <scheme val="minor"/>
      </rPr>
      <t>BW</t>
    </r>
    <r>
      <rPr>
        <b/>
        <sz val="11"/>
        <color theme="1"/>
        <rFont val="Calibri"/>
        <family val="2"/>
        <scheme val="minor"/>
      </rPr>
      <t xml:space="preserve"> (P</t>
    </r>
    <r>
      <rPr>
        <b/>
        <sz val="8"/>
        <color theme="1"/>
        <rFont val="Calibri"/>
        <family val="2"/>
        <scheme val="minor"/>
      </rPr>
      <t>S-</t>
    </r>
    <r>
      <rPr>
        <b/>
        <sz val="11"/>
        <color theme="1"/>
        <rFont val="Calibri"/>
        <family val="2"/>
        <scheme val="minor"/>
      </rPr>
      <t>P</t>
    </r>
    <r>
      <rPr>
        <b/>
        <sz val="8"/>
        <color theme="1"/>
        <rFont val="Calibri"/>
        <family val="2"/>
        <scheme val="minor"/>
      </rPr>
      <t>D) =</t>
    </r>
    <r>
      <rPr>
        <b/>
        <sz val="11"/>
        <color theme="1"/>
        <rFont val="Calibri"/>
        <family val="2"/>
        <scheme val="minor"/>
      </rPr>
      <t xml:space="preserve"> g/h)
</t>
    </r>
  </si>
  <si>
    <r>
      <rPr>
        <b/>
        <sz val="12"/>
        <color theme="1"/>
        <rFont val="Calibri"/>
        <family val="2"/>
        <scheme val="minor"/>
      </rPr>
      <t>Badebetrieb:</t>
    </r>
    <r>
      <rPr>
        <b/>
        <sz val="11"/>
        <color theme="1"/>
        <rFont val="Calibri"/>
        <family val="2"/>
        <scheme val="minor"/>
      </rPr>
      <t xml:space="preserve">
Verdunstete Wassermenge = (Formel : m' = Ꜫ</t>
    </r>
    <r>
      <rPr>
        <b/>
        <sz val="8"/>
        <color theme="1"/>
        <rFont val="Calibri"/>
        <family val="2"/>
        <scheme val="minor"/>
      </rPr>
      <t>1.0</t>
    </r>
    <r>
      <rPr>
        <b/>
        <sz val="11"/>
        <color theme="1"/>
        <rFont val="Calibri"/>
        <family val="2"/>
        <scheme val="minor"/>
      </rPr>
      <t xml:space="preserve"> * A</t>
    </r>
    <r>
      <rPr>
        <b/>
        <sz val="8"/>
        <color theme="1"/>
        <rFont val="Calibri"/>
        <family val="2"/>
        <scheme val="minor"/>
      </rPr>
      <t>BW</t>
    </r>
    <r>
      <rPr>
        <b/>
        <sz val="11"/>
        <color theme="1"/>
        <rFont val="Calibri"/>
        <family val="2"/>
        <scheme val="minor"/>
      </rPr>
      <t xml:space="preserve"> (P</t>
    </r>
    <r>
      <rPr>
        <b/>
        <sz val="8"/>
        <color theme="1"/>
        <rFont val="Calibri"/>
        <family val="2"/>
        <scheme val="minor"/>
      </rPr>
      <t>S-</t>
    </r>
    <r>
      <rPr>
        <b/>
        <sz val="11"/>
        <color theme="1"/>
        <rFont val="Calibri"/>
        <family val="2"/>
        <scheme val="minor"/>
      </rPr>
      <t>P</t>
    </r>
    <r>
      <rPr>
        <b/>
        <sz val="8"/>
        <color theme="1"/>
        <rFont val="Calibri"/>
        <family val="2"/>
        <scheme val="minor"/>
      </rPr>
      <t>D) =</t>
    </r>
    <r>
      <rPr>
        <b/>
        <sz val="11"/>
        <color theme="1"/>
        <rFont val="Calibri"/>
        <family val="2"/>
        <scheme val="minor"/>
      </rPr>
      <t xml:space="preserve"> g/h)
</t>
    </r>
  </si>
  <si>
    <r>
      <t>m'v</t>
    </r>
    <r>
      <rPr>
        <sz val="8"/>
        <color theme="1"/>
        <rFont val="Calibri"/>
        <family val="2"/>
        <scheme val="minor"/>
      </rPr>
      <t>k</t>
    </r>
  </si>
  <si>
    <r>
      <t xml:space="preserve">Korriegierte Verdunstungsmenge:
</t>
    </r>
    <r>
      <rPr>
        <sz val="11"/>
        <color theme="1"/>
        <rFont val="Calibri"/>
        <family val="2"/>
        <scheme val="minor"/>
      </rPr>
      <t>m'</t>
    </r>
    <r>
      <rPr>
        <sz val="8"/>
        <color theme="1"/>
        <rFont val="Calibri"/>
        <family val="2"/>
        <scheme val="minor"/>
      </rPr>
      <t xml:space="preserve">v,k </t>
    </r>
    <r>
      <rPr>
        <sz val="11"/>
        <color theme="1"/>
        <rFont val="Calibri"/>
        <family val="2"/>
        <scheme val="minor"/>
      </rPr>
      <t>= f*m'</t>
    </r>
    <r>
      <rPr>
        <sz val="8"/>
        <color theme="1"/>
        <rFont val="Calibri"/>
        <family val="2"/>
        <scheme val="minor"/>
      </rPr>
      <t xml:space="preserve">v  </t>
    </r>
  </si>
  <si>
    <r>
      <t xml:space="preserve">Zuluftmenge zur Entfeuchtung:
</t>
    </r>
    <r>
      <rPr>
        <sz val="11"/>
        <color theme="1"/>
        <rFont val="Calibri"/>
        <family val="2"/>
        <scheme val="minor"/>
      </rPr>
      <t>m'</t>
    </r>
    <r>
      <rPr>
        <sz val="8"/>
        <color theme="1"/>
        <rFont val="Calibri"/>
        <family val="2"/>
        <scheme val="minor"/>
      </rPr>
      <t xml:space="preserve">z </t>
    </r>
    <r>
      <rPr>
        <sz val="11"/>
        <color theme="1"/>
        <rFont val="Calibri"/>
        <family val="2"/>
        <scheme val="minor"/>
      </rPr>
      <t>= m'</t>
    </r>
    <r>
      <rPr>
        <sz val="8"/>
        <color theme="1"/>
        <rFont val="Calibri"/>
        <family val="2"/>
        <scheme val="minor"/>
      </rPr>
      <t>k,v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-X</t>
    </r>
    <r>
      <rPr>
        <sz val="8"/>
        <color theme="1"/>
        <rFont val="Calibri"/>
        <family val="2"/>
        <scheme val="minor"/>
      </rPr>
      <t>Z</t>
    </r>
  </si>
  <si>
    <r>
      <t>m'</t>
    </r>
    <r>
      <rPr>
        <vertAlign val="subscript"/>
        <sz val="11"/>
        <color theme="1"/>
        <rFont val="Calibri"/>
        <family val="2"/>
      </rPr>
      <t>v</t>
    </r>
    <r>
      <rPr>
        <sz val="8"/>
        <color theme="1"/>
        <rFont val="Calibri"/>
        <family val="2"/>
      </rPr>
      <t>1.0</t>
    </r>
  </si>
  <si>
    <t>Bemerkung</t>
  </si>
  <si>
    <t>(gem. s.10 SWKI 2004-1 oder Hx-Diagramm)</t>
  </si>
  <si>
    <t>g/h</t>
  </si>
  <si>
    <r>
      <t>m'v</t>
    </r>
    <r>
      <rPr>
        <sz val="8"/>
        <color theme="1"/>
        <rFont val="Calibri"/>
        <family val="2"/>
        <scheme val="minor"/>
      </rPr>
      <t>k 1.0</t>
    </r>
  </si>
  <si>
    <t>kg/h</t>
  </si>
  <si>
    <r>
      <t xml:space="preserve">Luftvolumenstrom: 
</t>
    </r>
    <r>
      <rPr>
        <sz val="11"/>
        <color theme="1"/>
        <rFont val="Calibri"/>
        <family val="2"/>
        <scheme val="minor"/>
      </rPr>
      <t>m³/h= m'</t>
    </r>
    <r>
      <rPr>
        <vertAlign val="subscript"/>
        <sz val="11"/>
        <color theme="1"/>
        <rFont val="Calibri"/>
        <family val="2"/>
        <scheme val="minor"/>
      </rPr>
      <t xml:space="preserve">z </t>
    </r>
    <r>
      <rPr>
        <sz val="11"/>
        <color theme="1"/>
        <rFont val="Calibri"/>
        <family val="2"/>
        <scheme val="minor"/>
      </rPr>
      <t>/ ϱ</t>
    </r>
  </si>
  <si>
    <t>kg/m³</t>
  </si>
  <si>
    <t>m³/h</t>
  </si>
  <si>
    <t>Kleinkinderbecken</t>
  </si>
  <si>
    <r>
      <t xml:space="preserve">(gem. s.12 SWKI 2004-1) </t>
    </r>
    <r>
      <rPr>
        <b/>
        <sz val="11"/>
        <color rgb="FFFF0000"/>
        <rFont val="Calibri"/>
        <family val="2"/>
        <scheme val="minor"/>
      </rPr>
      <t>(Annahme)</t>
    </r>
  </si>
  <si>
    <t>Raumlufttemperatur Kinderbereich</t>
  </si>
  <si>
    <t>(Annahme: weill es ein Spassbereich ist und die Kinder bleiben länger im Wasser/ Aktivität ist grösser)</t>
  </si>
  <si>
    <t>(Gemäss Recknagel)</t>
  </si>
  <si>
    <t>Luftvolumenstrom:</t>
  </si>
  <si>
    <t>Nummer</t>
  </si>
  <si>
    <t>Garderobe Mitarbeiter</t>
  </si>
  <si>
    <t>Garderobe Gastro</t>
  </si>
  <si>
    <t>Garderobe 1 Damen</t>
  </si>
  <si>
    <t>Garderobe 2 Damen</t>
  </si>
  <si>
    <t>Garderobe 3 Herren</t>
  </si>
  <si>
    <t>Garderobe 4 Familie</t>
  </si>
  <si>
    <t>Garderobe 5 Herren</t>
  </si>
  <si>
    <t>Volumenstrom</t>
  </si>
  <si>
    <t>Badem</t>
  </si>
  <si>
    <t>Wc Herren</t>
  </si>
  <si>
    <t>Wc Damen</t>
  </si>
  <si>
    <t>WC IV</t>
  </si>
  <si>
    <t>WC Herren</t>
  </si>
  <si>
    <t>WC Damen</t>
  </si>
  <si>
    <t>Sanität</t>
  </si>
  <si>
    <t>Massage 1</t>
  </si>
  <si>
    <t>Massage 2</t>
  </si>
  <si>
    <t>Wc 6</t>
  </si>
  <si>
    <t>Sauna 1</t>
  </si>
  <si>
    <t>Sauna 2</t>
  </si>
  <si>
    <t>Eisbecken</t>
  </si>
  <si>
    <t>Regeneration</t>
  </si>
  <si>
    <t>Annahme</t>
  </si>
  <si>
    <t>Fitness 2</t>
  </si>
  <si>
    <t xml:space="preserve">Fitness 1 </t>
  </si>
  <si>
    <r>
      <rPr>
        <b/>
        <sz val="12"/>
        <color theme="1"/>
        <rFont val="Calibri"/>
        <family val="2"/>
        <scheme val="minor"/>
      </rPr>
      <t>Badebetrieb:</t>
    </r>
    <r>
      <rPr>
        <b/>
        <sz val="11"/>
        <color theme="1"/>
        <rFont val="Calibri"/>
        <family val="2"/>
        <scheme val="minor"/>
      </rPr>
      <t xml:space="preserve">
Verdunstete Wassermenge = (Formel : m' = Ꜫ</t>
    </r>
    <r>
      <rPr>
        <b/>
        <sz val="8"/>
        <color theme="1"/>
        <rFont val="Calibri"/>
        <family val="2"/>
        <scheme val="minor"/>
      </rPr>
      <t>3.0</t>
    </r>
    <r>
      <rPr>
        <b/>
        <sz val="11"/>
        <color theme="1"/>
        <rFont val="Calibri"/>
        <family val="2"/>
        <scheme val="minor"/>
      </rPr>
      <t xml:space="preserve"> * A</t>
    </r>
    <r>
      <rPr>
        <b/>
        <sz val="8"/>
        <color theme="1"/>
        <rFont val="Calibri"/>
        <family val="2"/>
        <scheme val="minor"/>
      </rPr>
      <t>BW</t>
    </r>
    <r>
      <rPr>
        <b/>
        <sz val="11"/>
        <color theme="1"/>
        <rFont val="Calibri"/>
        <family val="2"/>
        <scheme val="minor"/>
      </rPr>
      <t xml:space="preserve"> (P</t>
    </r>
    <r>
      <rPr>
        <b/>
        <sz val="8"/>
        <color theme="1"/>
        <rFont val="Calibri"/>
        <family val="2"/>
        <scheme val="minor"/>
      </rPr>
      <t>S-</t>
    </r>
    <r>
      <rPr>
        <b/>
        <sz val="11"/>
        <color theme="1"/>
        <rFont val="Calibri"/>
        <family val="2"/>
        <scheme val="minor"/>
      </rPr>
      <t>P</t>
    </r>
    <r>
      <rPr>
        <b/>
        <sz val="8"/>
        <color theme="1"/>
        <rFont val="Calibri"/>
        <family val="2"/>
        <scheme val="minor"/>
      </rPr>
      <t>D) =</t>
    </r>
    <r>
      <rPr>
        <b/>
        <sz val="11"/>
        <color theme="1"/>
        <rFont val="Calibri"/>
        <family val="2"/>
        <scheme val="minor"/>
      </rPr>
      <t xml:space="preserve"> g/h)
</t>
    </r>
  </si>
  <si>
    <t>(gem. Angabe Ihrerseits)</t>
  </si>
  <si>
    <t>(gem. s.15 SWKI 2004-1)</t>
  </si>
  <si>
    <r>
      <t>m'</t>
    </r>
    <r>
      <rPr>
        <sz val="8"/>
        <color theme="1"/>
        <rFont val="Calibri"/>
        <family val="2"/>
        <scheme val="minor"/>
      </rPr>
      <t>z  3.0</t>
    </r>
  </si>
  <si>
    <t xml:space="preserve">Sättigungsdruck bei der gegebenen Beckenwassertemperatur </t>
  </si>
  <si>
    <t>(gem. H-x Diagramm)</t>
  </si>
  <si>
    <t>Kinderbecken+Kleinkinderbecken Zuluftmenge zur Entfeuchtung Badebetrieb</t>
  </si>
  <si>
    <t>Kinderbecken+Kleinkinderbecken Zuluftmenge zur Entfeuchtung Ruhebetrieb</t>
  </si>
  <si>
    <t>Zuluftmenge an den Fenster</t>
  </si>
  <si>
    <t>Fenster Höhe</t>
  </si>
  <si>
    <t>m</t>
  </si>
  <si>
    <t>Anzahl Fenster</t>
  </si>
  <si>
    <t>Stk.</t>
  </si>
  <si>
    <t>Zuluftmenge pro m Fensterlänge ca.</t>
  </si>
  <si>
    <t>Formel: m³/h * h</t>
  </si>
  <si>
    <t>Da zu wenig Fensterflächen vorhanden sind ist die Zuluftmenge nicht ausreichend 
Für die Belüftung des Hallenbades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</si>
</sst>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Rockwell"/>
      <family val="1"/>
    </font>
    <font>
      <vertAlign val="subscript"/>
      <sz val="11"/>
      <color theme="1"/>
      <name val="Calibri"/>
      <family val="2"/>
    </font>
    <font>
      <sz val="11"/>
      <color rgb="FFFA7D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4" fillId="0" borderId="4" applyNumberFormat="0" applyFill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0" xfId="2" applyFill="1"/>
    <xf numFmtId="0" fontId="6" fillId="0" borderId="0" xfId="2" applyFont="1" applyFill="1"/>
    <xf numFmtId="0" fontId="0" fillId="4" borderId="0" xfId="0" applyFill="1"/>
    <xf numFmtId="0" fontId="0" fillId="5" borderId="0" xfId="0" applyFill="1"/>
    <xf numFmtId="0" fontId="6" fillId="5" borderId="0" xfId="2" applyFont="1" applyFill="1"/>
    <xf numFmtId="0" fontId="4" fillId="5" borderId="0" xfId="2" applyFill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vertical="center"/>
    </xf>
    <xf numFmtId="0" fontId="16" fillId="0" borderId="0" xfId="0" applyFont="1"/>
    <xf numFmtId="0" fontId="0" fillId="6" borderId="0" xfId="0" applyFill="1"/>
    <xf numFmtId="2" fontId="3" fillId="0" borderId="0" xfId="1" applyNumberFormat="1" applyFill="1" applyAlignment="1">
      <alignment horizontal="center" vertical="center"/>
    </xf>
    <xf numFmtId="0" fontId="1" fillId="7" borderId="2" xfId="0" applyFont="1" applyFill="1" applyBorder="1" applyAlignment="1">
      <alignment wrapText="1"/>
    </xf>
    <xf numFmtId="0" fontId="0" fillId="7" borderId="0" xfId="0" applyFill="1"/>
    <xf numFmtId="2" fontId="3" fillId="7" borderId="0" xfId="1" applyNumberFormat="1" applyFill="1" applyAlignment="1">
      <alignment horizontal="center" vertical="center"/>
    </xf>
    <xf numFmtId="0" fontId="1" fillId="7" borderId="1" xfId="0" applyFont="1" applyFill="1" applyBorder="1" applyAlignment="1">
      <alignment wrapText="1"/>
    </xf>
    <xf numFmtId="0" fontId="0" fillId="7" borderId="0" xfId="0" applyFill="1" applyAlignment="1">
      <alignment vertical="center"/>
    </xf>
    <xf numFmtId="2" fontId="0" fillId="7" borderId="0" xfId="0" applyNumberFormat="1" applyFill="1"/>
    <xf numFmtId="2" fontId="3" fillId="8" borderId="0" xfId="1" applyNumberFormat="1" applyFill="1" applyAlignment="1">
      <alignment horizontal="center" vertical="center"/>
    </xf>
    <xf numFmtId="2" fontId="4" fillId="8" borderId="0" xfId="2" applyNumberFormat="1" applyFill="1" applyAlignment="1">
      <alignment horizontal="center" vertical="center"/>
    </xf>
    <xf numFmtId="2" fontId="14" fillId="8" borderId="5" xfId="3" applyNumberFormat="1" applyFill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0" fillId="0" borderId="3" xfId="0" applyBorder="1"/>
    <xf numFmtId="0" fontId="17" fillId="0" borderId="3" xfId="0" applyFont="1" applyBorder="1"/>
    <xf numFmtId="0" fontId="17" fillId="0" borderId="2" xfId="0" applyFont="1" applyBorder="1" applyAlignment="1">
      <alignment wrapText="1"/>
    </xf>
    <xf numFmtId="0" fontId="1" fillId="0" borderId="5" xfId="0" applyFont="1" applyBorder="1"/>
    <xf numFmtId="0" fontId="1" fillId="0" borderId="1" xfId="0" applyFont="1" applyBorder="1"/>
    <xf numFmtId="0" fontId="0" fillId="0" borderId="2" xfId="0" applyBorder="1"/>
    <xf numFmtId="0" fontId="8" fillId="0" borderId="0" xfId="0" applyFont="1"/>
  </cellXfs>
  <cellStyles count="4">
    <cellStyle name="Gut" xfId="1" builtinId="26"/>
    <cellStyle name="Schlecht" xfId="2" builtinId="27"/>
    <cellStyle name="Standard" xfId="0" builtinId="0"/>
    <cellStyle name="Verknüpfte Zelle" xfId="3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topLeftCell="A6" zoomScale="130" zoomScaleNormal="130" workbookViewId="0">
      <selection activeCell="D27" sqref="D27"/>
    </sheetView>
  </sheetViews>
  <sheetFormatPr baseColWidth="10" defaultRowHeight="15" x14ac:dyDescent="0.25"/>
  <cols>
    <col min="2" max="2" width="72.85546875" customWidth="1"/>
    <col min="3" max="3" width="7.28515625" bestFit="1" customWidth="1"/>
    <col min="4" max="4" width="11.5703125" customWidth="1"/>
    <col min="5" max="5" width="12.28515625" customWidth="1"/>
    <col min="6" max="6" width="89.28515625" bestFit="1" customWidth="1"/>
  </cols>
  <sheetData>
    <row r="1" spans="2:6" x14ac:dyDescent="0.25">
      <c r="B1" s="37" t="s">
        <v>0</v>
      </c>
    </row>
    <row r="2" spans="2:6" x14ac:dyDescent="0.25">
      <c r="B2" s="37"/>
    </row>
    <row r="4" spans="2:6" x14ac:dyDescent="0.25">
      <c r="B4" t="s">
        <v>1</v>
      </c>
      <c r="C4" t="s">
        <v>10</v>
      </c>
      <c r="D4" s="1"/>
      <c r="E4" t="s">
        <v>9</v>
      </c>
      <c r="F4" t="s">
        <v>89</v>
      </c>
    </row>
    <row r="5" spans="2:6" x14ac:dyDescent="0.25">
      <c r="D5" s="1"/>
    </row>
    <row r="6" spans="2:6" ht="15.75" x14ac:dyDescent="0.25">
      <c r="B6" s="9" t="s">
        <v>39</v>
      </c>
      <c r="D6" s="1"/>
    </row>
    <row r="7" spans="2:6" x14ac:dyDescent="0.25">
      <c r="B7" t="s">
        <v>22</v>
      </c>
      <c r="C7" t="s">
        <v>20</v>
      </c>
      <c r="D7" s="26">
        <v>5</v>
      </c>
      <c r="E7" t="s">
        <v>19</v>
      </c>
    </row>
    <row r="8" spans="2:6" x14ac:dyDescent="0.25">
      <c r="B8" t="s">
        <v>29</v>
      </c>
      <c r="C8" t="s">
        <v>57</v>
      </c>
      <c r="D8" s="26">
        <v>5</v>
      </c>
      <c r="E8" t="s">
        <v>19</v>
      </c>
    </row>
    <row r="9" spans="2:6" x14ac:dyDescent="0.25">
      <c r="B9" t="s">
        <v>12</v>
      </c>
      <c r="C9" t="s">
        <v>52</v>
      </c>
      <c r="D9" s="26">
        <v>32</v>
      </c>
      <c r="E9" t="s">
        <v>18</v>
      </c>
    </row>
    <row r="10" spans="2:6" x14ac:dyDescent="0.25">
      <c r="B10" s="4" t="s">
        <v>2</v>
      </c>
      <c r="C10" t="s">
        <v>33</v>
      </c>
      <c r="D10" s="26">
        <v>47.53</v>
      </c>
      <c r="E10" t="s">
        <v>32</v>
      </c>
      <c r="F10" s="17" t="s">
        <v>101</v>
      </c>
    </row>
    <row r="11" spans="2:6" x14ac:dyDescent="0.25">
      <c r="B11" s="4"/>
      <c r="D11" s="26"/>
    </row>
    <row r="12" spans="2:6" x14ac:dyDescent="0.25">
      <c r="B12" s="5" t="s">
        <v>6</v>
      </c>
      <c r="C12" t="s">
        <v>25</v>
      </c>
      <c r="D12" s="26">
        <v>0.8</v>
      </c>
    </row>
    <row r="13" spans="2:6" ht="18" x14ac:dyDescent="0.35">
      <c r="B13" s="5" t="s">
        <v>7</v>
      </c>
      <c r="C13" s="10" t="s">
        <v>88</v>
      </c>
      <c r="D13" s="26">
        <v>5</v>
      </c>
      <c r="E13" t="s">
        <v>26</v>
      </c>
    </row>
    <row r="14" spans="2:6" x14ac:dyDescent="0.25">
      <c r="B14" s="5" t="s">
        <v>27</v>
      </c>
      <c r="C14" s="10" t="s">
        <v>58</v>
      </c>
      <c r="D14" s="26">
        <v>0</v>
      </c>
      <c r="E14" t="s">
        <v>26</v>
      </c>
    </row>
    <row r="15" spans="2:6" x14ac:dyDescent="0.25">
      <c r="B15" s="5" t="s">
        <v>8</v>
      </c>
      <c r="C15" s="10" t="s">
        <v>59</v>
      </c>
      <c r="D15" s="26">
        <v>15</v>
      </c>
      <c r="E15" t="s">
        <v>26</v>
      </c>
    </row>
    <row r="16" spans="2:6" x14ac:dyDescent="0.25">
      <c r="B16" s="6" t="s">
        <v>35</v>
      </c>
      <c r="C16" s="10" t="s">
        <v>50</v>
      </c>
      <c r="D16" s="26">
        <v>21</v>
      </c>
      <c r="E16" t="s">
        <v>18</v>
      </c>
    </row>
    <row r="17" spans="2:6" x14ac:dyDescent="0.25">
      <c r="B17" s="7" t="s">
        <v>3</v>
      </c>
      <c r="C17" s="10" t="s">
        <v>49</v>
      </c>
      <c r="D17" s="26">
        <v>23.37</v>
      </c>
      <c r="E17" t="s">
        <v>32</v>
      </c>
      <c r="F17" t="s">
        <v>90</v>
      </c>
    </row>
    <row r="18" spans="2:6" x14ac:dyDescent="0.25">
      <c r="B18" s="7" t="s">
        <v>75</v>
      </c>
      <c r="C18" t="s">
        <v>16</v>
      </c>
      <c r="D18" s="26">
        <v>46</v>
      </c>
      <c r="E18" t="s">
        <v>76</v>
      </c>
      <c r="F18" t="s">
        <v>34</v>
      </c>
    </row>
    <row r="19" spans="2:6" x14ac:dyDescent="0.25">
      <c r="B19" s="6" t="s">
        <v>15</v>
      </c>
      <c r="C19" t="s">
        <v>17</v>
      </c>
      <c r="D19" s="26">
        <v>14.3</v>
      </c>
      <c r="E19" t="s">
        <v>14</v>
      </c>
      <c r="F19" t="s">
        <v>65</v>
      </c>
    </row>
    <row r="20" spans="2:6" x14ac:dyDescent="0.25">
      <c r="B20" s="6" t="s">
        <v>4</v>
      </c>
      <c r="C20" t="s">
        <v>13</v>
      </c>
      <c r="D20" s="26">
        <v>1.8</v>
      </c>
      <c r="E20" t="s">
        <v>14</v>
      </c>
      <c r="F20" t="s">
        <v>65</v>
      </c>
    </row>
    <row r="21" spans="2:6" x14ac:dyDescent="0.25">
      <c r="B21" s="8" t="s">
        <v>5</v>
      </c>
      <c r="C21" s="11" t="s">
        <v>47</v>
      </c>
      <c r="D21" s="27">
        <v>1.1000000000000001</v>
      </c>
      <c r="E21" t="s">
        <v>95</v>
      </c>
    </row>
    <row r="22" spans="2:6" ht="15.75" thickBot="1" x14ac:dyDescent="0.3">
      <c r="B22" s="3"/>
      <c r="C22" s="11"/>
      <c r="D22" s="27"/>
    </row>
    <row r="23" spans="2:6" ht="45.75" x14ac:dyDescent="0.25">
      <c r="B23" s="23" t="s">
        <v>82</v>
      </c>
      <c r="C23" s="21" t="s">
        <v>60</v>
      </c>
      <c r="D23" s="22">
        <f>D13*D7*(D10-D17)</f>
        <v>604</v>
      </c>
      <c r="E23" s="24" t="s">
        <v>91</v>
      </c>
    </row>
    <row r="24" spans="2:6" ht="30" x14ac:dyDescent="0.25">
      <c r="B24" s="15" t="s">
        <v>86</v>
      </c>
      <c r="C24" t="s">
        <v>92</v>
      </c>
      <c r="D24" s="26">
        <f>D23*D12</f>
        <v>483.20000000000005</v>
      </c>
      <c r="E24" t="s">
        <v>91</v>
      </c>
    </row>
    <row r="25" spans="2:6" ht="30.75" thickBot="1" x14ac:dyDescent="0.3">
      <c r="B25" s="15" t="s">
        <v>64</v>
      </c>
      <c r="C25" t="s">
        <v>68</v>
      </c>
      <c r="D25" s="26">
        <f>D24/(D19-D20)</f>
        <v>38.656000000000006</v>
      </c>
      <c r="E25" t="s">
        <v>93</v>
      </c>
    </row>
    <row r="26" spans="2:6" ht="33.75" thickBot="1" x14ac:dyDescent="0.4">
      <c r="B26" s="14" t="s">
        <v>94</v>
      </c>
      <c r="D26" s="28">
        <f>D25/D21</f>
        <v>35.141818181818188</v>
      </c>
      <c r="E26" t="s">
        <v>96</v>
      </c>
    </row>
    <row r="27" spans="2:6" ht="45.75" x14ac:dyDescent="0.25">
      <c r="B27" s="13" t="s">
        <v>129</v>
      </c>
      <c r="C27" t="s">
        <v>62</v>
      </c>
      <c r="D27" s="26">
        <f>D15*D7*(D10-D17)</f>
        <v>1812</v>
      </c>
      <c r="E27" s="16" t="s">
        <v>91</v>
      </c>
    </row>
    <row r="28" spans="2:6" ht="30.75" thickBot="1" x14ac:dyDescent="0.3">
      <c r="B28" s="14" t="s">
        <v>64</v>
      </c>
      <c r="C28" t="s">
        <v>69</v>
      </c>
      <c r="D28" s="26">
        <f>D27/(D19-D20)</f>
        <v>144.96</v>
      </c>
      <c r="E28" t="s">
        <v>93</v>
      </c>
    </row>
    <row r="29" spans="2:6" ht="33.75" thickBot="1" x14ac:dyDescent="0.4">
      <c r="B29" s="20" t="s">
        <v>94</v>
      </c>
      <c r="C29" s="21" t="s">
        <v>132</v>
      </c>
      <c r="D29" s="22">
        <f>D28/D21</f>
        <v>131.78181818181818</v>
      </c>
      <c r="E29" s="21" t="s">
        <v>96</v>
      </c>
    </row>
    <row r="30" spans="2:6" x14ac:dyDescent="0.25">
      <c r="B30" s="12"/>
      <c r="D30" s="26"/>
    </row>
    <row r="31" spans="2:6" ht="15.75" x14ac:dyDescent="0.25">
      <c r="B31" s="9" t="s">
        <v>51</v>
      </c>
      <c r="D31" s="26"/>
    </row>
    <row r="32" spans="2:6" x14ac:dyDescent="0.25">
      <c r="B32" t="s">
        <v>23</v>
      </c>
      <c r="C32" t="s">
        <v>20</v>
      </c>
      <c r="D32" s="26">
        <f>12.5*12.53*2</f>
        <v>313.25</v>
      </c>
      <c r="E32" t="s">
        <v>19</v>
      </c>
      <c r="F32" t="s">
        <v>21</v>
      </c>
    </row>
    <row r="33" spans="2:6" x14ac:dyDescent="0.25">
      <c r="B33" t="s">
        <v>30</v>
      </c>
      <c r="C33" t="s">
        <v>56</v>
      </c>
      <c r="D33" s="26">
        <f>12.5*12.53*2</f>
        <v>313.25</v>
      </c>
      <c r="E33" t="s">
        <v>19</v>
      </c>
    </row>
    <row r="34" spans="2:6" x14ac:dyDescent="0.25">
      <c r="B34" t="s">
        <v>11</v>
      </c>
      <c r="C34" t="s">
        <v>53</v>
      </c>
      <c r="D34" s="26">
        <v>27.5</v>
      </c>
      <c r="E34" t="s">
        <v>18</v>
      </c>
    </row>
    <row r="35" spans="2:6" x14ac:dyDescent="0.25">
      <c r="B35" s="4" t="s">
        <v>31</v>
      </c>
      <c r="C35" t="s">
        <v>33</v>
      </c>
      <c r="D35" s="26">
        <v>36.630000000000003</v>
      </c>
      <c r="E35" t="s">
        <v>32</v>
      </c>
    </row>
    <row r="36" spans="2:6" x14ac:dyDescent="0.25">
      <c r="D36" s="26"/>
    </row>
    <row r="37" spans="2:6" x14ac:dyDescent="0.25">
      <c r="B37" s="5" t="s">
        <v>6</v>
      </c>
      <c r="C37" t="s">
        <v>25</v>
      </c>
      <c r="D37" s="26">
        <v>1</v>
      </c>
      <c r="F37" t="s">
        <v>130</v>
      </c>
    </row>
    <row r="38" spans="2:6" x14ac:dyDescent="0.25">
      <c r="B38" s="5" t="s">
        <v>7</v>
      </c>
      <c r="C38" s="10" t="s">
        <v>41</v>
      </c>
      <c r="D38" s="26">
        <v>7</v>
      </c>
      <c r="E38" t="s">
        <v>26</v>
      </c>
      <c r="F38" t="s">
        <v>131</v>
      </c>
    </row>
    <row r="39" spans="2:6" x14ac:dyDescent="0.25">
      <c r="B39" s="5" t="s">
        <v>27</v>
      </c>
      <c r="C39" s="10" t="s">
        <v>42</v>
      </c>
      <c r="D39" s="26">
        <v>14</v>
      </c>
      <c r="E39" t="s">
        <v>26</v>
      </c>
      <c r="F39" t="s">
        <v>131</v>
      </c>
    </row>
    <row r="40" spans="2:6" x14ac:dyDescent="0.25">
      <c r="B40" s="5" t="s">
        <v>8</v>
      </c>
      <c r="C40" s="10" t="s">
        <v>43</v>
      </c>
      <c r="D40" s="26">
        <v>19</v>
      </c>
      <c r="E40" t="s">
        <v>26</v>
      </c>
      <c r="F40" t="s">
        <v>131</v>
      </c>
    </row>
    <row r="41" spans="2:6" x14ac:dyDescent="0.25">
      <c r="B41" s="6" t="s">
        <v>35</v>
      </c>
      <c r="D41" s="26">
        <v>30</v>
      </c>
      <c r="E41" t="s">
        <v>18</v>
      </c>
    </row>
    <row r="42" spans="2:6" x14ac:dyDescent="0.25">
      <c r="B42" s="7" t="s">
        <v>3</v>
      </c>
      <c r="C42" t="s">
        <v>48</v>
      </c>
      <c r="D42" s="26">
        <v>21.63</v>
      </c>
      <c r="E42" t="s">
        <v>32</v>
      </c>
      <c r="F42" t="s">
        <v>34</v>
      </c>
    </row>
    <row r="43" spans="2:6" x14ac:dyDescent="0.25">
      <c r="B43" s="7" t="s">
        <v>75</v>
      </c>
      <c r="C43" t="s">
        <v>16</v>
      </c>
      <c r="D43" s="26">
        <v>51</v>
      </c>
      <c r="E43" t="s">
        <v>76</v>
      </c>
      <c r="F43" t="s">
        <v>34</v>
      </c>
    </row>
    <row r="44" spans="2:6" x14ac:dyDescent="0.25">
      <c r="B44" s="6" t="s">
        <v>15</v>
      </c>
      <c r="C44" t="s">
        <v>17</v>
      </c>
      <c r="D44" s="26">
        <v>14.3</v>
      </c>
      <c r="E44" t="s">
        <v>14</v>
      </c>
    </row>
    <row r="45" spans="2:6" x14ac:dyDescent="0.25">
      <c r="B45" s="6" t="s">
        <v>4</v>
      </c>
      <c r="C45" t="s">
        <v>13</v>
      </c>
      <c r="D45" s="26">
        <v>9</v>
      </c>
      <c r="E45" t="s">
        <v>14</v>
      </c>
    </row>
    <row r="46" spans="2:6" x14ac:dyDescent="0.25">
      <c r="B46" s="8" t="s">
        <v>5</v>
      </c>
      <c r="C46" s="11" t="s">
        <v>47</v>
      </c>
      <c r="D46" s="27">
        <v>1.1000000000000001</v>
      </c>
      <c r="E46" t="s">
        <v>95</v>
      </c>
    </row>
    <row r="47" spans="2:6" ht="15.75" thickBot="1" x14ac:dyDescent="0.3">
      <c r="B47" s="3"/>
      <c r="C47" s="11"/>
      <c r="D47" s="27"/>
    </row>
    <row r="48" spans="2:6" ht="45.75" x14ac:dyDescent="0.25">
      <c r="B48" s="23" t="s">
        <v>82</v>
      </c>
      <c r="C48" s="21" t="s">
        <v>61</v>
      </c>
      <c r="D48" s="22">
        <f>D38*D32*(D35-D42)</f>
        <v>32891.250000000007</v>
      </c>
      <c r="E48" s="24" t="s">
        <v>91</v>
      </c>
    </row>
    <row r="49" spans="2:6" ht="30.75" thickBot="1" x14ac:dyDescent="0.3">
      <c r="B49" s="14" t="s">
        <v>67</v>
      </c>
      <c r="C49" t="s">
        <v>70</v>
      </c>
      <c r="D49" s="26">
        <f>D48/(D44-D45)</f>
        <v>6205.896226415095</v>
      </c>
      <c r="E49" t="s">
        <v>93</v>
      </c>
      <c r="F49" t="s">
        <v>65</v>
      </c>
    </row>
    <row r="50" spans="2:6" ht="33.75" thickBot="1" x14ac:dyDescent="0.4">
      <c r="B50" s="14" t="s">
        <v>94</v>
      </c>
      <c r="D50" s="26">
        <f>D49/D46</f>
        <v>5641.7238421955408</v>
      </c>
      <c r="E50" t="s">
        <v>96</v>
      </c>
    </row>
    <row r="51" spans="2:6" ht="45.75" x14ac:dyDescent="0.25">
      <c r="B51" s="13" t="s">
        <v>84</v>
      </c>
      <c r="C51" t="s">
        <v>63</v>
      </c>
      <c r="D51" s="26">
        <f>D32*D40*(D35-D42)</f>
        <v>89276.250000000015</v>
      </c>
      <c r="E51" s="16" t="s">
        <v>91</v>
      </c>
    </row>
    <row r="52" spans="2:6" ht="30.75" thickBot="1" x14ac:dyDescent="0.3">
      <c r="B52" s="14" t="s">
        <v>87</v>
      </c>
      <c r="C52" t="s">
        <v>71</v>
      </c>
      <c r="D52" s="26">
        <f>D51/(D44-D45)</f>
        <v>16844.575471698114</v>
      </c>
      <c r="E52" t="s">
        <v>93</v>
      </c>
      <c r="F52" t="s">
        <v>65</v>
      </c>
    </row>
    <row r="53" spans="2:6" ht="33.75" thickBot="1" x14ac:dyDescent="0.4">
      <c r="B53" s="20" t="s">
        <v>94</v>
      </c>
      <c r="C53" s="21"/>
      <c r="D53" s="22">
        <f>D52/D46</f>
        <v>15313.250428816466</v>
      </c>
      <c r="E53" s="21" t="s">
        <v>96</v>
      </c>
    </row>
    <row r="54" spans="2:6" x14ac:dyDescent="0.25">
      <c r="D54" s="26"/>
    </row>
    <row r="55" spans="2:6" ht="15.75" x14ac:dyDescent="0.25">
      <c r="B55" s="9" t="s">
        <v>40</v>
      </c>
      <c r="D55" s="26"/>
    </row>
    <row r="56" spans="2:6" x14ac:dyDescent="0.25">
      <c r="B56" t="s">
        <v>24</v>
      </c>
      <c r="C56" t="s">
        <v>20</v>
      </c>
      <c r="D56" s="26">
        <v>40.92</v>
      </c>
      <c r="E56" t="s">
        <v>19</v>
      </c>
      <c r="F56" t="s">
        <v>21</v>
      </c>
    </row>
    <row r="57" spans="2:6" x14ac:dyDescent="0.25">
      <c r="B57" t="s">
        <v>28</v>
      </c>
      <c r="C57" t="s">
        <v>55</v>
      </c>
      <c r="D57" s="26">
        <v>31.15</v>
      </c>
      <c r="E57" t="s">
        <v>19</v>
      </c>
    </row>
    <row r="58" spans="2:6" x14ac:dyDescent="0.25">
      <c r="B58" t="s">
        <v>36</v>
      </c>
      <c r="C58" t="s">
        <v>54</v>
      </c>
      <c r="D58" s="26">
        <v>32</v>
      </c>
      <c r="E58" t="s">
        <v>18</v>
      </c>
      <c r="F58" t="s">
        <v>98</v>
      </c>
    </row>
    <row r="59" spans="2:6" x14ac:dyDescent="0.25">
      <c r="B59" t="s">
        <v>133</v>
      </c>
      <c r="D59" s="26">
        <v>53.09</v>
      </c>
      <c r="E59" t="s">
        <v>32</v>
      </c>
      <c r="F59" s="2"/>
    </row>
    <row r="60" spans="2:6" x14ac:dyDescent="0.25">
      <c r="D60" s="26"/>
      <c r="F60" s="2"/>
    </row>
    <row r="61" spans="2:6" x14ac:dyDescent="0.25">
      <c r="B61" s="5" t="s">
        <v>6</v>
      </c>
      <c r="C61" t="s">
        <v>25</v>
      </c>
      <c r="D61" s="26">
        <v>1</v>
      </c>
    </row>
    <row r="62" spans="2:6" x14ac:dyDescent="0.25">
      <c r="B62" s="5" t="s">
        <v>7</v>
      </c>
      <c r="C62" s="10" t="s">
        <v>44</v>
      </c>
      <c r="D62" s="26">
        <v>7</v>
      </c>
      <c r="E62" t="s">
        <v>26</v>
      </c>
    </row>
    <row r="63" spans="2:6" x14ac:dyDescent="0.25">
      <c r="B63" s="5" t="s">
        <v>27</v>
      </c>
      <c r="C63" s="10" t="s">
        <v>45</v>
      </c>
      <c r="D63" s="26">
        <v>14</v>
      </c>
      <c r="E63" t="s">
        <v>26</v>
      </c>
    </row>
    <row r="64" spans="2:6" x14ac:dyDescent="0.25">
      <c r="B64" s="5" t="s">
        <v>8</v>
      </c>
      <c r="C64" s="10" t="s">
        <v>46</v>
      </c>
      <c r="D64" s="26">
        <v>19</v>
      </c>
      <c r="E64" t="s">
        <v>26</v>
      </c>
    </row>
    <row r="65" spans="2:6" x14ac:dyDescent="0.25">
      <c r="B65" s="6" t="s">
        <v>35</v>
      </c>
      <c r="C65" t="s">
        <v>38</v>
      </c>
      <c r="D65" s="26">
        <v>32</v>
      </c>
      <c r="E65" t="s">
        <v>18</v>
      </c>
    </row>
    <row r="66" spans="2:6" x14ac:dyDescent="0.25">
      <c r="B66" s="7" t="s">
        <v>3</v>
      </c>
      <c r="C66" t="s">
        <v>48</v>
      </c>
      <c r="D66" s="26">
        <v>47.45</v>
      </c>
      <c r="E66" t="s">
        <v>32</v>
      </c>
      <c r="F66" t="s">
        <v>34</v>
      </c>
    </row>
    <row r="67" spans="2:6" x14ac:dyDescent="0.25">
      <c r="B67" s="7" t="s">
        <v>75</v>
      </c>
      <c r="C67" t="s">
        <v>16</v>
      </c>
      <c r="D67" s="26">
        <v>41</v>
      </c>
      <c r="E67" t="s">
        <v>76</v>
      </c>
      <c r="F67" t="s">
        <v>34</v>
      </c>
    </row>
    <row r="68" spans="2:6" x14ac:dyDescent="0.25">
      <c r="B68" s="6" t="s">
        <v>77</v>
      </c>
      <c r="C68" t="s">
        <v>17</v>
      </c>
      <c r="D68" s="26">
        <v>18.2</v>
      </c>
      <c r="E68" t="s">
        <v>14</v>
      </c>
      <c r="F68" t="s">
        <v>78</v>
      </c>
    </row>
    <row r="69" spans="2:6" x14ac:dyDescent="0.25">
      <c r="B69" s="6" t="s">
        <v>4</v>
      </c>
      <c r="C69" t="s">
        <v>66</v>
      </c>
      <c r="D69" s="26">
        <v>9</v>
      </c>
      <c r="E69" t="s">
        <v>14</v>
      </c>
    </row>
    <row r="70" spans="2:6" x14ac:dyDescent="0.25">
      <c r="B70" s="8" t="s">
        <v>5</v>
      </c>
      <c r="C70" s="11" t="s">
        <v>47</v>
      </c>
      <c r="D70" s="27">
        <v>1.1000000000000001</v>
      </c>
      <c r="E70" t="s">
        <v>95</v>
      </c>
    </row>
    <row r="71" spans="2:6" ht="15.75" thickBot="1" x14ac:dyDescent="0.3">
      <c r="D71" s="26"/>
    </row>
    <row r="72" spans="2:6" ht="45.75" x14ac:dyDescent="0.25">
      <c r="B72" s="13" t="s">
        <v>82</v>
      </c>
      <c r="C72" t="s">
        <v>79</v>
      </c>
      <c r="D72" s="26">
        <f>D62*D56*(D59-D66)</f>
        <v>1615.5216000000003</v>
      </c>
      <c r="E72" s="16" t="s">
        <v>91</v>
      </c>
    </row>
    <row r="73" spans="2:6" ht="30" x14ac:dyDescent="0.25">
      <c r="B73" s="15" t="s">
        <v>86</v>
      </c>
      <c r="C73" t="s">
        <v>85</v>
      </c>
      <c r="D73" s="26">
        <f>D72*D61</f>
        <v>1615.5216000000003</v>
      </c>
      <c r="E73" s="16" t="s">
        <v>91</v>
      </c>
    </row>
    <row r="74" spans="2:6" ht="30.75" thickBot="1" x14ac:dyDescent="0.3">
      <c r="B74" s="14" t="s">
        <v>64</v>
      </c>
      <c r="C74" t="s">
        <v>72</v>
      </c>
      <c r="D74" s="26">
        <f>D73/(D68-D69)</f>
        <v>175.60017391304353</v>
      </c>
      <c r="E74" t="s">
        <v>93</v>
      </c>
    </row>
    <row r="75" spans="2:6" ht="33.75" thickBot="1" x14ac:dyDescent="0.4">
      <c r="B75" s="14" t="s">
        <v>94</v>
      </c>
      <c r="D75" s="26">
        <f>D74/D70</f>
        <v>159.63652173913047</v>
      </c>
      <c r="E75" t="s">
        <v>96</v>
      </c>
    </row>
    <row r="76" spans="2:6" ht="45.75" x14ac:dyDescent="0.25">
      <c r="B76" s="13" t="s">
        <v>83</v>
      </c>
      <c r="C76" t="s">
        <v>80</v>
      </c>
      <c r="D76" s="26">
        <f>D63*D56*(D59-D66)</f>
        <v>3231.0432000000005</v>
      </c>
      <c r="E76" s="16" t="s">
        <v>91</v>
      </c>
    </row>
    <row r="77" spans="2:6" ht="30.75" thickBot="1" x14ac:dyDescent="0.3">
      <c r="B77" s="14" t="s">
        <v>64</v>
      </c>
      <c r="C77" t="s">
        <v>73</v>
      </c>
      <c r="D77" s="26">
        <f>D76/(D68-D69)</f>
        <v>351.20034782608707</v>
      </c>
      <c r="E77" t="s">
        <v>96</v>
      </c>
      <c r="F77" t="s">
        <v>65</v>
      </c>
    </row>
    <row r="78" spans="2:6" ht="45.75" x14ac:dyDescent="0.25">
      <c r="B78" s="13" t="s">
        <v>84</v>
      </c>
      <c r="C78" t="s">
        <v>81</v>
      </c>
      <c r="D78" s="26">
        <f>D64*D56*(D59-D66)</f>
        <v>4384.9872000000005</v>
      </c>
      <c r="E78" s="16" t="s">
        <v>91</v>
      </c>
    </row>
    <row r="79" spans="2:6" ht="30.75" thickBot="1" x14ac:dyDescent="0.3">
      <c r="B79" s="14" t="s">
        <v>64</v>
      </c>
      <c r="C79" t="s">
        <v>74</v>
      </c>
      <c r="D79" s="26">
        <f>D78/(D68-D69)</f>
        <v>476.62904347826094</v>
      </c>
      <c r="E79" t="s">
        <v>96</v>
      </c>
    </row>
    <row r="80" spans="2:6" ht="33.75" thickBot="1" x14ac:dyDescent="0.4">
      <c r="B80" s="14" t="s">
        <v>94</v>
      </c>
      <c r="D80" s="26">
        <f>D79/D70</f>
        <v>433.29913043478263</v>
      </c>
      <c r="E80" t="s">
        <v>96</v>
      </c>
    </row>
    <row r="81" spans="2:6" x14ac:dyDescent="0.25">
      <c r="B81" s="12"/>
      <c r="D81" s="26"/>
    </row>
    <row r="82" spans="2:6" ht="15.75" x14ac:dyDescent="0.25">
      <c r="B82" s="9" t="s">
        <v>97</v>
      </c>
      <c r="D82" s="26"/>
    </row>
    <row r="83" spans="2:6" x14ac:dyDescent="0.25">
      <c r="B83" t="s">
        <v>24</v>
      </c>
      <c r="C83" t="s">
        <v>20</v>
      </c>
      <c r="D83" s="26">
        <v>75</v>
      </c>
      <c r="E83" t="s">
        <v>19</v>
      </c>
      <c r="F83" t="s">
        <v>21</v>
      </c>
    </row>
    <row r="84" spans="2:6" x14ac:dyDescent="0.25">
      <c r="B84" t="s">
        <v>28</v>
      </c>
      <c r="C84" t="s">
        <v>55</v>
      </c>
      <c r="D84" s="26">
        <v>31.15</v>
      </c>
      <c r="E84" t="s">
        <v>19</v>
      </c>
    </row>
    <row r="85" spans="2:6" x14ac:dyDescent="0.25">
      <c r="B85" t="s">
        <v>36</v>
      </c>
      <c r="C85" t="s">
        <v>54</v>
      </c>
      <c r="D85" s="26">
        <v>34</v>
      </c>
      <c r="E85" t="s">
        <v>18</v>
      </c>
      <c r="F85" t="s">
        <v>37</v>
      </c>
    </row>
    <row r="86" spans="2:6" x14ac:dyDescent="0.25">
      <c r="B86" t="s">
        <v>133</v>
      </c>
      <c r="D86" s="26">
        <v>53.09</v>
      </c>
      <c r="E86" t="s">
        <v>32</v>
      </c>
      <c r="F86" s="2"/>
    </row>
    <row r="87" spans="2:6" x14ac:dyDescent="0.25">
      <c r="D87" s="26"/>
      <c r="F87" s="2"/>
    </row>
    <row r="88" spans="2:6" x14ac:dyDescent="0.25">
      <c r="B88" s="5" t="s">
        <v>6</v>
      </c>
      <c r="C88" t="s">
        <v>25</v>
      </c>
      <c r="D88" s="26">
        <v>1</v>
      </c>
    </row>
    <row r="89" spans="2:6" x14ac:dyDescent="0.25">
      <c r="B89" s="5" t="s">
        <v>7</v>
      </c>
      <c r="C89" s="10" t="s">
        <v>44</v>
      </c>
      <c r="D89" s="26">
        <v>7</v>
      </c>
      <c r="E89" t="s">
        <v>26</v>
      </c>
    </row>
    <row r="90" spans="2:6" x14ac:dyDescent="0.25">
      <c r="B90" s="5" t="s">
        <v>27</v>
      </c>
      <c r="C90" s="10" t="s">
        <v>45</v>
      </c>
      <c r="D90" s="26">
        <v>14</v>
      </c>
      <c r="E90" t="s">
        <v>26</v>
      </c>
    </row>
    <row r="91" spans="2:6" x14ac:dyDescent="0.25">
      <c r="B91" s="5" t="s">
        <v>8</v>
      </c>
      <c r="C91" s="10" t="s">
        <v>46</v>
      </c>
      <c r="D91" s="26">
        <v>19</v>
      </c>
      <c r="E91" t="s">
        <v>26</v>
      </c>
    </row>
    <row r="92" spans="2:6" x14ac:dyDescent="0.25">
      <c r="B92" s="6" t="s">
        <v>99</v>
      </c>
      <c r="C92" t="s">
        <v>38</v>
      </c>
      <c r="D92" s="26">
        <v>34</v>
      </c>
      <c r="E92" t="s">
        <v>18</v>
      </c>
      <c r="F92" s="17" t="s">
        <v>100</v>
      </c>
    </row>
    <row r="93" spans="2:6" x14ac:dyDescent="0.25">
      <c r="B93" s="7" t="s">
        <v>3</v>
      </c>
      <c r="C93" t="s">
        <v>48</v>
      </c>
      <c r="D93" s="26">
        <v>47.45</v>
      </c>
      <c r="E93" t="s">
        <v>32</v>
      </c>
      <c r="F93" t="s">
        <v>34</v>
      </c>
    </row>
    <row r="94" spans="2:6" x14ac:dyDescent="0.25">
      <c r="B94" s="7" t="s">
        <v>75</v>
      </c>
      <c r="C94" t="s">
        <v>16</v>
      </c>
      <c r="D94" s="26">
        <v>51</v>
      </c>
      <c r="E94" t="s">
        <v>76</v>
      </c>
      <c r="F94" t="s">
        <v>34</v>
      </c>
    </row>
    <row r="95" spans="2:6" x14ac:dyDescent="0.25">
      <c r="B95" s="6" t="s">
        <v>77</v>
      </c>
      <c r="C95" t="s">
        <v>17</v>
      </c>
      <c r="D95" s="26">
        <v>18.2</v>
      </c>
      <c r="E95" t="s">
        <v>14</v>
      </c>
      <c r="F95" t="s">
        <v>134</v>
      </c>
    </row>
    <row r="96" spans="2:6" x14ac:dyDescent="0.25">
      <c r="B96" s="6" t="s">
        <v>4</v>
      </c>
      <c r="C96" t="s">
        <v>66</v>
      </c>
      <c r="D96" s="26">
        <v>9</v>
      </c>
      <c r="E96" t="s">
        <v>14</v>
      </c>
    </row>
    <row r="97" spans="2:6" x14ac:dyDescent="0.25">
      <c r="B97" s="8" t="s">
        <v>5</v>
      </c>
      <c r="C97" s="11" t="s">
        <v>47</v>
      </c>
      <c r="D97" s="27">
        <v>1.1000000000000001</v>
      </c>
      <c r="E97" t="s">
        <v>95</v>
      </c>
    </row>
    <row r="98" spans="2:6" ht="15.75" thickBot="1" x14ac:dyDescent="0.3">
      <c r="D98" s="26"/>
    </row>
    <row r="99" spans="2:6" ht="45.75" x14ac:dyDescent="0.25">
      <c r="B99" s="13" t="s">
        <v>82</v>
      </c>
      <c r="C99" t="s">
        <v>79</v>
      </c>
      <c r="D99" s="26">
        <f>D89*D83*(D86-D93)</f>
        <v>2961.0000000000005</v>
      </c>
    </row>
    <row r="100" spans="2:6" ht="30" x14ac:dyDescent="0.25">
      <c r="B100" s="15" t="s">
        <v>86</v>
      </c>
      <c r="C100" t="s">
        <v>85</v>
      </c>
      <c r="D100" s="26">
        <f>D99*D88</f>
        <v>2961.0000000000005</v>
      </c>
    </row>
    <row r="101" spans="2:6" ht="30.75" thickBot="1" x14ac:dyDescent="0.3">
      <c r="B101" s="14" t="s">
        <v>64</v>
      </c>
      <c r="C101" t="s">
        <v>72</v>
      </c>
      <c r="D101" s="26">
        <f>D100/(D95-D96)</f>
        <v>321.84782608695662</v>
      </c>
    </row>
    <row r="102" spans="2:6" ht="33.75" thickBot="1" x14ac:dyDescent="0.4">
      <c r="B102" s="14" t="s">
        <v>94</v>
      </c>
      <c r="D102" s="26">
        <f>D101/D97</f>
        <v>292.58893280632418</v>
      </c>
      <c r="E102" t="s">
        <v>96</v>
      </c>
    </row>
    <row r="103" spans="2:6" ht="45.75" x14ac:dyDescent="0.25">
      <c r="B103" s="13" t="s">
        <v>83</v>
      </c>
      <c r="C103" t="s">
        <v>80</v>
      </c>
      <c r="D103" s="26">
        <f>D90*D83*(D86-D93)</f>
        <v>5922.0000000000009</v>
      </c>
    </row>
    <row r="104" spans="2:6" ht="30.75" thickBot="1" x14ac:dyDescent="0.3">
      <c r="B104" s="14" t="s">
        <v>64</v>
      </c>
      <c r="C104" t="s">
        <v>73</v>
      </c>
      <c r="D104" s="26">
        <f>D103/(D95-D96)</f>
        <v>643.69565217391323</v>
      </c>
      <c r="F104" t="s">
        <v>65</v>
      </c>
    </row>
    <row r="105" spans="2:6" ht="45.75" x14ac:dyDescent="0.25">
      <c r="B105" s="13" t="s">
        <v>84</v>
      </c>
      <c r="C105" t="s">
        <v>81</v>
      </c>
      <c r="D105" s="26">
        <f>D91*D83*(D86-D93)</f>
        <v>8037.0000000000009</v>
      </c>
    </row>
    <row r="106" spans="2:6" ht="30.75" thickBot="1" x14ac:dyDescent="0.3">
      <c r="B106" s="14" t="s">
        <v>64</v>
      </c>
      <c r="C106" t="s">
        <v>74</v>
      </c>
      <c r="D106" s="26">
        <f>D105/(D95-D96)</f>
        <v>873.58695652173935</v>
      </c>
    </row>
    <row r="107" spans="2:6" ht="33.75" thickBot="1" x14ac:dyDescent="0.4">
      <c r="B107" s="14" t="s">
        <v>94</v>
      </c>
      <c r="D107" s="19">
        <f>D106/D97</f>
        <v>794.16996047430848</v>
      </c>
      <c r="E107" t="s">
        <v>96</v>
      </c>
    </row>
    <row r="109" spans="2:6" x14ac:dyDescent="0.25">
      <c r="B109" s="21" t="s">
        <v>135</v>
      </c>
      <c r="C109" s="21"/>
      <c r="D109" s="25">
        <f>D106+D79</f>
        <v>1350.2160000000003</v>
      </c>
      <c r="E109" s="21"/>
    </row>
    <row r="110" spans="2:6" x14ac:dyDescent="0.25">
      <c r="B110" s="21" t="s">
        <v>136</v>
      </c>
      <c r="C110" s="21"/>
      <c r="D110" s="25">
        <f>D101+D74</f>
        <v>497.44800000000015</v>
      </c>
      <c r="E110" s="21"/>
    </row>
    <row r="111" spans="2:6" ht="15.75" thickBot="1" x14ac:dyDescent="0.3">
      <c r="D111" s="29"/>
    </row>
    <row r="112" spans="2:6" ht="15.75" thickBot="1" x14ac:dyDescent="0.3">
      <c r="B112" s="35" t="s">
        <v>137</v>
      </c>
      <c r="D112" s="26"/>
    </row>
    <row r="113" spans="1:5" x14ac:dyDescent="0.25">
      <c r="B113" s="30" t="s">
        <v>138</v>
      </c>
      <c r="D113" s="26">
        <v>2</v>
      </c>
      <c r="E113" t="s">
        <v>139</v>
      </c>
    </row>
    <row r="114" spans="1:5" x14ac:dyDescent="0.25">
      <c r="B114" s="31" t="s">
        <v>140</v>
      </c>
      <c r="D114" s="26">
        <v>18</v>
      </c>
      <c r="E114" t="s">
        <v>141</v>
      </c>
    </row>
    <row r="115" spans="1:5" x14ac:dyDescent="0.25">
      <c r="B115" s="31" t="s">
        <v>142</v>
      </c>
      <c r="D115" s="26">
        <v>150</v>
      </c>
      <c r="E115" t="s">
        <v>96</v>
      </c>
    </row>
    <row r="116" spans="1:5" ht="15.75" thickBot="1" x14ac:dyDescent="0.3">
      <c r="B116" s="36"/>
      <c r="D116" s="26"/>
    </row>
    <row r="117" spans="1:5" ht="15.75" thickBot="1" x14ac:dyDescent="0.3">
      <c r="B117" s="34" t="s">
        <v>143</v>
      </c>
      <c r="D117" s="26">
        <f>(D114*D113)*D115</f>
        <v>5400</v>
      </c>
      <c r="E117" t="s">
        <v>96</v>
      </c>
    </row>
    <row r="118" spans="1:5" x14ac:dyDescent="0.25">
      <c r="B118" s="32"/>
      <c r="D118" s="26"/>
    </row>
    <row r="119" spans="1:5" ht="45.75" thickBot="1" x14ac:dyDescent="0.3">
      <c r="B119" s="33" t="s">
        <v>144</v>
      </c>
      <c r="D119" s="26"/>
    </row>
    <row r="120" spans="1:5" x14ac:dyDescent="0.25">
      <c r="D120" s="29"/>
    </row>
    <row r="121" spans="1:5" ht="14.1" customHeight="1" thickBot="1" x14ac:dyDescent="0.3"/>
    <row r="122" spans="1:5" ht="15.75" thickBot="1" x14ac:dyDescent="0.3">
      <c r="A122" t="s">
        <v>103</v>
      </c>
      <c r="B122" s="34" t="s">
        <v>102</v>
      </c>
      <c r="C122" s="2" t="s">
        <v>111</v>
      </c>
      <c r="D122" s="2"/>
    </row>
    <row r="123" spans="1:5" x14ac:dyDescent="0.25">
      <c r="B123" s="31" t="s">
        <v>106</v>
      </c>
      <c r="C123">
        <v>840</v>
      </c>
      <c r="D123" t="s">
        <v>96</v>
      </c>
    </row>
    <row r="124" spans="1:5" x14ac:dyDescent="0.25">
      <c r="B124" s="31" t="s">
        <v>107</v>
      </c>
      <c r="C124">
        <v>840</v>
      </c>
      <c r="D124" t="s">
        <v>96</v>
      </c>
    </row>
    <row r="125" spans="1:5" x14ac:dyDescent="0.25">
      <c r="B125" s="31" t="s">
        <v>108</v>
      </c>
      <c r="C125">
        <v>1200</v>
      </c>
      <c r="D125" t="s">
        <v>96</v>
      </c>
    </row>
    <row r="126" spans="1:5" x14ac:dyDescent="0.25">
      <c r="B126" s="31" t="s">
        <v>109</v>
      </c>
      <c r="C126">
        <v>960</v>
      </c>
      <c r="D126" t="s">
        <v>96</v>
      </c>
    </row>
    <row r="127" spans="1:5" x14ac:dyDescent="0.25">
      <c r="B127" s="31" t="s">
        <v>110</v>
      </c>
      <c r="C127">
        <v>840</v>
      </c>
      <c r="D127" t="s">
        <v>96</v>
      </c>
    </row>
    <row r="128" spans="1:5" x14ac:dyDescent="0.25">
      <c r="B128" s="31" t="s">
        <v>104</v>
      </c>
      <c r="C128">
        <v>144</v>
      </c>
      <c r="D128" t="s">
        <v>96</v>
      </c>
      <c r="E128" t="s">
        <v>126</v>
      </c>
    </row>
    <row r="129" spans="2:5" x14ac:dyDescent="0.25">
      <c r="B129" s="31" t="s">
        <v>105</v>
      </c>
      <c r="C129">
        <v>144</v>
      </c>
      <c r="D129" t="s">
        <v>96</v>
      </c>
      <c r="E129" t="s">
        <v>126</v>
      </c>
    </row>
    <row r="130" spans="2:5" x14ac:dyDescent="0.25">
      <c r="B130" s="31" t="s">
        <v>118</v>
      </c>
      <c r="C130">
        <v>108</v>
      </c>
      <c r="D130" t="s">
        <v>96</v>
      </c>
    </row>
    <row r="131" spans="2:5" x14ac:dyDescent="0.25">
      <c r="B131" s="31" t="s">
        <v>119</v>
      </c>
      <c r="C131">
        <v>72</v>
      </c>
      <c r="D131" t="s">
        <v>96</v>
      </c>
    </row>
    <row r="132" spans="2:5" x14ac:dyDescent="0.25">
      <c r="B132" s="31" t="s">
        <v>120</v>
      </c>
      <c r="C132">
        <v>72</v>
      </c>
      <c r="D132" t="s">
        <v>96</v>
      </c>
    </row>
    <row r="133" spans="2:5" x14ac:dyDescent="0.25">
      <c r="B133" s="31" t="s">
        <v>121</v>
      </c>
      <c r="C133">
        <v>80</v>
      </c>
      <c r="D133" t="s">
        <v>96</v>
      </c>
    </row>
    <row r="134" spans="2:5" x14ac:dyDescent="0.25">
      <c r="B134" s="31" t="s">
        <v>122</v>
      </c>
      <c r="C134">
        <v>450</v>
      </c>
      <c r="D134" t="s">
        <v>96</v>
      </c>
    </row>
    <row r="135" spans="2:5" x14ac:dyDescent="0.25">
      <c r="B135" s="31" t="s">
        <v>123</v>
      </c>
      <c r="C135">
        <v>450</v>
      </c>
      <c r="D135" t="s">
        <v>96</v>
      </c>
    </row>
    <row r="136" spans="2:5" x14ac:dyDescent="0.25">
      <c r="B136" s="31" t="s">
        <v>124</v>
      </c>
      <c r="C136" s="18"/>
      <c r="D136" t="s">
        <v>96</v>
      </c>
      <c r="E136" t="s">
        <v>126</v>
      </c>
    </row>
    <row r="137" spans="2:5" x14ac:dyDescent="0.25">
      <c r="B137" s="31" t="s">
        <v>125</v>
      </c>
      <c r="C137">
        <v>216</v>
      </c>
      <c r="D137" t="s">
        <v>96</v>
      </c>
      <c r="E137" t="s">
        <v>126</v>
      </c>
    </row>
    <row r="138" spans="2:5" x14ac:dyDescent="0.25">
      <c r="B138" s="31"/>
    </row>
    <row r="139" spans="2:5" x14ac:dyDescent="0.25">
      <c r="B139" s="31" t="s">
        <v>112</v>
      </c>
      <c r="C139">
        <v>141</v>
      </c>
      <c r="D139" t="s">
        <v>96</v>
      </c>
    </row>
    <row r="140" spans="2:5" x14ac:dyDescent="0.25">
      <c r="B140" s="31" t="s">
        <v>113</v>
      </c>
      <c r="C140">
        <v>320</v>
      </c>
      <c r="D140" t="s">
        <v>96</v>
      </c>
    </row>
    <row r="141" spans="2:5" x14ac:dyDescent="0.25">
      <c r="B141" s="31" t="s">
        <v>114</v>
      </c>
      <c r="C141">
        <v>160</v>
      </c>
      <c r="D141" t="s">
        <v>96</v>
      </c>
    </row>
    <row r="142" spans="2:5" x14ac:dyDescent="0.25">
      <c r="B142" s="31" t="s">
        <v>115</v>
      </c>
      <c r="C142">
        <v>80</v>
      </c>
      <c r="D142" t="s">
        <v>96</v>
      </c>
    </row>
    <row r="143" spans="2:5" x14ac:dyDescent="0.25">
      <c r="B143" s="31" t="s">
        <v>115</v>
      </c>
      <c r="C143">
        <v>80</v>
      </c>
      <c r="D143" t="s">
        <v>96</v>
      </c>
    </row>
    <row r="144" spans="2:5" x14ac:dyDescent="0.25">
      <c r="B144" s="31" t="s">
        <v>115</v>
      </c>
      <c r="C144">
        <v>80</v>
      </c>
      <c r="D144" t="s">
        <v>96</v>
      </c>
    </row>
    <row r="145" spans="2:4" x14ac:dyDescent="0.25">
      <c r="B145" s="31" t="s">
        <v>115</v>
      </c>
      <c r="C145">
        <v>80</v>
      </c>
      <c r="D145" t="s">
        <v>96</v>
      </c>
    </row>
    <row r="146" spans="2:4" x14ac:dyDescent="0.25">
      <c r="B146" s="31" t="s">
        <v>116</v>
      </c>
      <c r="C146">
        <v>320</v>
      </c>
      <c r="D146" t="s">
        <v>96</v>
      </c>
    </row>
    <row r="147" spans="2:4" x14ac:dyDescent="0.25">
      <c r="B147" s="31" t="s">
        <v>114</v>
      </c>
      <c r="C147">
        <v>160</v>
      </c>
      <c r="D147" t="s">
        <v>96</v>
      </c>
    </row>
    <row r="148" spans="2:4" x14ac:dyDescent="0.25">
      <c r="B148" s="31"/>
    </row>
    <row r="149" spans="2:4" x14ac:dyDescent="0.25">
      <c r="B149" s="31" t="s">
        <v>116</v>
      </c>
      <c r="C149">
        <v>640</v>
      </c>
      <c r="D149" t="s">
        <v>96</v>
      </c>
    </row>
    <row r="150" spans="2:4" x14ac:dyDescent="0.25">
      <c r="B150" s="31" t="s">
        <v>116</v>
      </c>
      <c r="C150">
        <v>640</v>
      </c>
      <c r="D150" t="s">
        <v>96</v>
      </c>
    </row>
    <row r="151" spans="2:4" x14ac:dyDescent="0.25">
      <c r="B151" s="31" t="s">
        <v>117</v>
      </c>
      <c r="C151">
        <v>480</v>
      </c>
      <c r="D151" t="s">
        <v>96</v>
      </c>
    </row>
    <row r="152" spans="2:4" x14ac:dyDescent="0.25">
      <c r="B152" s="31" t="s">
        <v>117</v>
      </c>
      <c r="C152">
        <v>480</v>
      </c>
      <c r="D152" t="s">
        <v>96</v>
      </c>
    </row>
    <row r="153" spans="2:4" x14ac:dyDescent="0.25">
      <c r="B153" s="31"/>
    </row>
    <row r="154" spans="2:4" x14ac:dyDescent="0.25">
      <c r="B154" s="31" t="s">
        <v>128</v>
      </c>
      <c r="C154">
        <v>1872</v>
      </c>
      <c r="D154" t="s">
        <v>96</v>
      </c>
    </row>
    <row r="155" spans="2:4" ht="15.75" thickBot="1" x14ac:dyDescent="0.3">
      <c r="B155" s="36" t="s">
        <v>127</v>
      </c>
      <c r="C155">
        <v>876.9</v>
      </c>
      <c r="D155" t="s">
        <v>96</v>
      </c>
    </row>
  </sheetData>
  <mergeCells count="1">
    <mergeCell ref="B1:B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cols>
    <col min="1" max="1" width="11" customWidth="1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Lambal</dc:creator>
  <cp:lastModifiedBy>Tamay Altikardes</cp:lastModifiedBy>
  <dcterms:created xsi:type="dcterms:W3CDTF">2017-12-29T13:23:50Z</dcterms:created>
  <dcterms:modified xsi:type="dcterms:W3CDTF">2025-03-11T10:30:00Z</dcterms:modified>
</cp:coreProperties>
</file>