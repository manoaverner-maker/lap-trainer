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linova-my.sharepoint.com/personal/tamay_altikardes_klinova_ch/Documents/Desktop/Vorlagen/01_Berechnungen/01_Luftmengenberechnung/Hallenbad/"/>
    </mc:Choice>
  </mc:AlternateContent>
  <xr:revisionPtr revIDLastSave="108" documentId="8_{BD26E2A8-87FD-4463-AA09-BE51A7038AD9}" xr6:coauthVersionLast="47" xr6:coauthVersionMax="47" xr10:uidLastSave="{24DAAA2A-C8EA-408C-A48C-B0AB5F721F8C}"/>
  <bookViews>
    <workbookView xWindow="-38520" yWindow="60" windowWidth="38640" windowHeight="21120" activeTab="1" xr2:uid="{00000000-000D-0000-FFFF-FFFF00000000}"/>
  </bookViews>
  <sheets>
    <sheet name="Zusammenfassung_Volumenströme" sheetId="1" r:id="rId1"/>
    <sheet name="Volumenstrom_Badebetrieb" sheetId="2" r:id="rId2"/>
    <sheet name="Volumenstrom_Ruhebetrieb" sheetId="3" r:id="rId3"/>
    <sheet name="Min_Volumenstrom_für_Fenster" sheetId="4" r:id="rId4"/>
    <sheet name="Volumenstrom_über_Wärmeanfall" sheetId="5" r:id="rId5"/>
    <sheet name="Volumenstrom_nach_Personenbeleg" sheetId="6" r:id="rId6"/>
    <sheet name="Zusammenfassung_Kosten" sheetId="7" r:id="rId7"/>
    <sheet name="Jahresenergiebedarf" sheetId="8" r:id="rId8"/>
    <sheet name="Wartungs-,_Instanhaltungskosten" sheetId="9" r:id="rId9"/>
    <sheet name="Jahresgesamtkosten" sheetId="10" r:id="rId10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8" i="3" l="1"/>
  <c r="C6" i="3"/>
  <c r="C48" i="2"/>
  <c r="C147" i="9"/>
  <c r="C146" i="9"/>
  <c r="C123" i="9"/>
  <c r="C129" i="9" s="1"/>
  <c r="C132" i="9" s="1"/>
  <c r="C122" i="9"/>
  <c r="C128" i="9" s="1"/>
  <c r="C131" i="9" s="1"/>
  <c r="C95" i="9"/>
  <c r="C97" i="9" s="1"/>
  <c r="C99" i="9" s="1"/>
  <c r="C104" i="9" s="1"/>
  <c r="C18" i="3"/>
  <c r="C29" i="3"/>
  <c r="C36" i="3" s="1"/>
  <c r="C15" i="2"/>
  <c r="C19" i="2" s="1"/>
  <c r="C21" i="2" s="1"/>
  <c r="C35" i="2" s="1"/>
  <c r="C7" i="3" s="1"/>
  <c r="C58" i="2"/>
  <c r="C65" i="2" s="1"/>
  <c r="C8" i="6"/>
  <c r="C13" i="6" s="1"/>
  <c r="C14" i="6" s="1"/>
  <c r="B8" i="1" s="1"/>
  <c r="C8" i="5"/>
  <c r="C12" i="5" s="1"/>
  <c r="C19" i="5"/>
  <c r="C20" i="5" s="1"/>
  <c r="C23" i="5" s="1"/>
  <c r="C32" i="5"/>
  <c r="C39" i="5"/>
  <c r="C8" i="4"/>
  <c r="B5" i="1"/>
  <c r="C113" i="9"/>
  <c r="C124" i="9"/>
  <c r="C66" i="9"/>
  <c r="C77" i="9"/>
  <c r="C38" i="9"/>
  <c r="C37" i="9"/>
  <c r="C40" i="9"/>
  <c r="C27" i="9"/>
  <c r="C28" i="2"/>
  <c r="C8" i="2"/>
  <c r="C38" i="2" l="1"/>
  <c r="C41" i="2" s="1"/>
  <c r="C51" i="2" s="1"/>
  <c r="C62" i="2" s="1"/>
  <c r="C22" i="5"/>
  <c r="C24" i="5" s="1"/>
  <c r="C36" i="5" s="1"/>
  <c r="C41" i="5" s="1"/>
  <c r="B7" i="1" s="1"/>
  <c r="C15" i="5"/>
  <c r="C134" i="9"/>
  <c r="C137" i="9" s="1"/>
  <c r="C148" i="9" s="1"/>
  <c r="C153" i="9" s="1"/>
  <c r="C156" i="9" s="1"/>
  <c r="C152" i="9"/>
  <c r="C155" i="9" s="1"/>
  <c r="C10" i="3"/>
  <c r="C21" i="3" s="1"/>
  <c r="C33" i="3" s="1"/>
  <c r="C38" i="3" s="1"/>
  <c r="B4" i="1" s="1"/>
  <c r="C158" i="9" l="1"/>
  <c r="C67" i="2"/>
  <c r="C48" i="9" s="1"/>
  <c r="C50" i="9" s="1"/>
  <c r="C52" i="9" s="1"/>
  <c r="C57" i="9" s="1"/>
  <c r="C76" i="9"/>
  <c r="C82" i="9" s="1"/>
  <c r="C85" i="9" s="1"/>
  <c r="C75" i="9" l="1"/>
  <c r="C81" i="9" s="1"/>
  <c r="C84" i="9" s="1"/>
  <c r="C87" i="9" s="1"/>
  <c r="B3" i="1"/>
  <c r="C8" i="9"/>
  <c r="C10" i="9" s="1"/>
  <c r="C12" i="9" s="1"/>
  <c r="C18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Remo Graf</author>
    <author>Tamay Altikardes</author>
  </authors>
  <commentList>
    <comment ref="C3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>Remo Graf:</t>
        </r>
        <r>
          <rPr>
            <sz val="9"/>
            <color rgb="FF000000"/>
            <rFont val="Tahoma"/>
            <family val="2"/>
          </rPr>
          <t xml:space="preserve">
Wert aus SWKI 2004-1
S.15 Max Betrieb für Auslegung</t>
        </r>
      </text>
    </comment>
    <comment ref="C35" authorId="0" shapeId="0" xr:uid="{00000000-0006-0000-0100-000002000000}">
      <text>
        <r>
          <rPr>
            <b/>
            <sz val="9"/>
            <color rgb="FF000000"/>
            <rFont val="Tahoma"/>
            <family val="2"/>
          </rPr>
          <t>Remo Graf:</t>
        </r>
        <r>
          <rPr>
            <sz val="9"/>
            <color rgb="FF000000"/>
            <rFont val="Tahoma"/>
            <family val="2"/>
          </rPr>
          <t xml:space="preserve">
Wert aus Tabelle Wasserdampfsättigungs-drucktabelle SIA 180
S.50</t>
        </r>
      </text>
    </comment>
    <comment ref="C36" authorId="0" shapeId="0" xr:uid="{00000000-0006-0000-0100-000003000000}">
      <text>
        <r>
          <rPr>
            <b/>
            <sz val="9"/>
            <color rgb="FF000000"/>
            <rFont val="Tahoma"/>
            <family val="2"/>
          </rPr>
          <t>Remo Graf:</t>
        </r>
        <r>
          <rPr>
            <sz val="9"/>
            <color rgb="FF000000"/>
            <rFont val="Tahoma"/>
            <family val="2"/>
          </rPr>
          <t xml:space="preserve">
Wert aus SWKI 2004-1
S.2</t>
        </r>
      </text>
    </comment>
    <comment ref="C39" authorId="1" shapeId="0" xr:uid="{29C8A9A3-CA62-4D7F-A745-5033BAFCBD0F}">
      <text>
        <r>
          <rPr>
            <b/>
            <sz val="9"/>
            <color indexed="81"/>
            <rFont val="Segoe UI"/>
            <charset val="1"/>
          </rPr>
          <t>Tamay Altikardes:</t>
        </r>
        <r>
          <rPr>
            <sz val="9"/>
            <color indexed="81"/>
            <rFont val="Segoe UI"/>
            <charset val="1"/>
          </rPr>
          <t xml:space="preserve">
Aus SWKI 2004-1 Seite 17</t>
        </r>
      </text>
    </comment>
    <comment ref="C45" authorId="0" shapeId="0" xr:uid="{00000000-0006-0000-0100-000004000000}">
      <text>
        <r>
          <rPr>
            <b/>
            <sz val="9"/>
            <color rgb="FF000000"/>
            <rFont val="Tahoma"/>
            <family val="2"/>
          </rPr>
          <t>Remo Graf:</t>
        </r>
        <r>
          <rPr>
            <sz val="9"/>
            <color rgb="FF000000"/>
            <rFont val="Tahoma"/>
            <family val="2"/>
          </rPr>
          <t xml:space="preserve">
Wer aus SWKI 2004-1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Remo Graf</author>
  </authors>
  <commentList>
    <comment ref="C5" authorId="0" shapeId="0" xr:uid="{00000000-0006-0000-0200-000001000000}">
      <text>
        <r>
          <rPr>
            <b/>
            <sz val="9"/>
            <color rgb="FF000000"/>
            <rFont val="Tahoma"/>
            <family val="2"/>
          </rPr>
          <t>Remo Graf:</t>
        </r>
        <r>
          <rPr>
            <sz val="9"/>
            <color rgb="FF000000"/>
            <rFont val="Tahoma"/>
            <family val="2"/>
          </rPr>
          <t xml:space="preserve">
Wert aus SWKI 2004-1</t>
        </r>
      </text>
    </comment>
    <comment ref="C7" authorId="0" shapeId="0" xr:uid="{00000000-0006-0000-0200-000002000000}">
      <text>
        <r>
          <rPr>
            <b/>
            <sz val="9"/>
            <color rgb="FF000000"/>
            <rFont val="Tahoma"/>
            <family val="2"/>
          </rPr>
          <t>Remo Graf:</t>
        </r>
        <r>
          <rPr>
            <sz val="9"/>
            <color rgb="FF000000"/>
            <rFont val="Tahoma"/>
            <family val="2"/>
          </rPr>
          <t xml:space="preserve">
Wert aus Tabelle Wasserdampfsättigungs-drucktabelle SIA 180</t>
        </r>
      </text>
    </comment>
    <comment ref="C8" authorId="0" shapeId="0" xr:uid="{00000000-0006-0000-0200-000003000000}">
      <text>
        <r>
          <rPr>
            <b/>
            <sz val="9"/>
            <color rgb="FF000000"/>
            <rFont val="Tahoma"/>
            <family val="2"/>
          </rPr>
          <t>Remo Graf:</t>
        </r>
        <r>
          <rPr>
            <sz val="9"/>
            <color rgb="FF000000"/>
            <rFont val="Tahoma"/>
            <family val="2"/>
          </rPr>
          <t xml:space="preserve">
Wert aus SWKI 2004-1</t>
        </r>
      </text>
    </comment>
    <comment ref="C13" authorId="0" shapeId="0" xr:uid="{00000000-0006-0000-0200-000004000000}">
      <text>
        <r>
          <rPr>
            <b/>
            <sz val="9"/>
            <color rgb="FF000000"/>
            <rFont val="Tahoma"/>
            <family val="2"/>
          </rPr>
          <t>Remo Graf:</t>
        </r>
        <r>
          <rPr>
            <sz val="9"/>
            <color rgb="FF000000"/>
            <rFont val="Tahoma"/>
            <family val="2"/>
          </rPr>
          <t xml:space="preserve">
Wert aus SWKI 2004-1</t>
        </r>
      </text>
    </comment>
    <comment ref="C15" authorId="0" shapeId="0" xr:uid="{00000000-0006-0000-0200-000005000000}">
      <text>
        <r>
          <rPr>
            <b/>
            <sz val="9"/>
            <color rgb="FF000000"/>
            <rFont val="Tahoma"/>
            <family val="2"/>
          </rPr>
          <t>Remo Graf:</t>
        </r>
        <r>
          <rPr>
            <sz val="9"/>
            <color rgb="FF000000"/>
            <rFont val="Tahoma"/>
            <family val="2"/>
          </rPr>
          <t xml:space="preserve">
Wert aus Tabelle Wasserdampfsättigungs-drucktabelle SIA 180</t>
        </r>
      </text>
    </comment>
    <comment ref="C16" authorId="0" shapeId="0" xr:uid="{00000000-0006-0000-0200-000006000000}">
      <text>
        <r>
          <rPr>
            <b/>
            <sz val="9"/>
            <color rgb="FF000000"/>
            <rFont val="Tahoma"/>
            <family val="2"/>
          </rPr>
          <t>Remo Graf:</t>
        </r>
        <r>
          <rPr>
            <sz val="9"/>
            <color rgb="FF000000"/>
            <rFont val="Tahoma"/>
            <family val="2"/>
          </rPr>
          <t xml:space="preserve">
Wert aus SWKI 2004-1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Remo Graf</author>
  </authors>
  <commentList>
    <comment ref="C5" authorId="0" shapeId="0" xr:uid="{00000000-0006-0000-0300-000001000000}">
      <text>
        <r>
          <rPr>
            <b/>
            <sz val="9"/>
            <color rgb="FF000000"/>
            <rFont val="Tahoma"/>
            <family val="2"/>
          </rPr>
          <t>Remo Graf:</t>
        </r>
        <r>
          <rPr>
            <sz val="9"/>
            <color rgb="FF000000"/>
            <rFont val="Tahoma"/>
            <family val="2"/>
          </rPr>
          <t xml:space="preserve">
Wert aus SWKI 2004-1 Seite 19
Mischwert aus Fensterhöhe 2 m und Fensterhöhe 4 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Remo Graf</author>
  </authors>
  <commentList>
    <comment ref="C5" authorId="0" shapeId="0" xr:uid="{00000000-0006-0000-0400-000001000000}">
      <text>
        <r>
          <rPr>
            <b/>
            <sz val="9"/>
            <color rgb="FF000000"/>
            <rFont val="Tahoma"/>
            <family val="2"/>
          </rPr>
          <t>Remo Graf:</t>
        </r>
        <r>
          <rPr>
            <sz val="9"/>
            <color rgb="FF000000"/>
            <rFont val="Tahoma"/>
            <family val="2"/>
          </rPr>
          <t xml:space="preserve">
Wert aus Merkblatt 2024</t>
        </r>
      </text>
    </comment>
    <comment ref="B13" authorId="0" shapeId="0" xr:uid="{00000000-0006-0000-0400-000002000000}">
      <text>
        <r>
          <rPr>
            <b/>
            <sz val="9"/>
            <color rgb="FF000000"/>
            <rFont val="Tahoma"/>
            <family val="2"/>
          </rPr>
          <t>Remo Graf:</t>
        </r>
        <r>
          <rPr>
            <sz val="9"/>
            <color rgb="FF000000"/>
            <rFont val="Tahoma"/>
            <family val="2"/>
          </rPr>
          <t xml:space="preserve">
Ohne Schwimmbadfläche/Whirpoolfläche</t>
        </r>
      </text>
    </comment>
    <comment ref="C18" authorId="0" shapeId="0" xr:uid="{00000000-0006-0000-0400-000003000000}">
      <text>
        <r>
          <rPr>
            <b/>
            <sz val="9"/>
            <color rgb="FF000000"/>
            <rFont val="Tahoma"/>
            <family val="2"/>
          </rPr>
          <t>Remo Graf:</t>
        </r>
        <r>
          <rPr>
            <sz val="9"/>
            <color rgb="FF000000"/>
            <rFont val="Tahoma"/>
            <family val="2"/>
          </rPr>
          <t xml:space="preserve">
Annahme max. Abgabe FBH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Remo Graf</author>
  </authors>
  <commentList>
    <comment ref="C5" authorId="0" shapeId="0" xr:uid="{00000000-0006-0000-0500-000001000000}">
      <text>
        <r>
          <rPr>
            <b/>
            <sz val="9"/>
            <color rgb="FF000000"/>
            <rFont val="Tahoma"/>
            <family val="2"/>
          </rPr>
          <t>Remo Graf:</t>
        </r>
        <r>
          <rPr>
            <sz val="9"/>
            <color rgb="FF000000"/>
            <rFont val="Tahoma"/>
            <family val="2"/>
          </rPr>
          <t xml:space="preserve">
SWKI 2004-1 Seite 20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Remo Graf</author>
  </authors>
  <commentList>
    <comment ref="C17" authorId="0" shapeId="0" xr:uid="{00000000-0006-0000-0800-000001000000}">
      <text>
        <r>
          <rPr>
            <b/>
            <sz val="9"/>
            <color rgb="FF000000"/>
            <rFont val="Tahoma"/>
            <family val="2"/>
          </rPr>
          <t>Remo Graf:</t>
        </r>
        <r>
          <rPr>
            <sz val="9"/>
            <color rgb="FF000000"/>
            <rFont val="Tahoma"/>
            <family val="2"/>
          </rPr>
          <t xml:space="preserve">
Tabelle Anuitäsfaktoren</t>
        </r>
        <r>
          <rPr>
            <sz val="9"/>
            <color rgb="FF000000"/>
            <rFont val="Tahoma"/>
            <family val="2"/>
          </rPr>
          <t xml:space="preserve">
Skipt Wärme unf Energie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C25" authorId="0" shapeId="0" xr:uid="{00000000-0006-0000-0800-000002000000}">
      <text>
        <r>
          <rPr>
            <b/>
            <sz val="9"/>
            <color rgb="FF000000"/>
            <rFont val="Tahoma"/>
            <family val="2"/>
          </rPr>
          <t>Remo Graf</t>
        </r>
        <r>
          <rPr>
            <b/>
            <sz val="9"/>
            <color rgb="FF000000"/>
            <rFont val="Tahoma"/>
            <family val="2"/>
          </rPr>
          <t xml:space="preserve">
Prozentualer Anteil  technische mittlere Anlage Skript WRG und Energie</t>
        </r>
      </text>
    </comment>
    <comment ref="C32" authorId="0" shapeId="0" xr:uid="{00000000-0006-0000-0800-000003000000}">
      <text>
        <r>
          <rPr>
            <b/>
            <sz val="9"/>
            <color rgb="FF000000"/>
            <rFont val="Tahoma"/>
            <family val="2"/>
          </rPr>
          <t>Remo Graf:</t>
        </r>
        <r>
          <rPr>
            <sz val="9"/>
            <color rgb="FF000000"/>
            <rFont val="Tahoma"/>
            <family val="2"/>
          </rPr>
          <t xml:space="preserve">
Betriebszeit 2h pro Tag</t>
        </r>
      </text>
    </comment>
    <comment ref="C33" authorId="0" shapeId="0" xr:uid="{00000000-0006-0000-0800-000004000000}">
      <text>
        <r>
          <rPr>
            <b/>
            <sz val="9"/>
            <color rgb="FF000000"/>
            <rFont val="Tahoma"/>
            <family val="2"/>
          </rPr>
          <t>Remo Graf:</t>
        </r>
        <r>
          <rPr>
            <sz val="9"/>
            <color rgb="FF000000"/>
            <rFont val="Tahoma"/>
            <family val="2"/>
          </rPr>
          <t xml:space="preserve">
Betriebszeit 22 h pro Tag</t>
        </r>
      </text>
    </comment>
    <comment ref="C55" authorId="0" shapeId="0" xr:uid="{00000000-0006-0000-0800-000005000000}">
      <text>
        <r>
          <rPr>
            <b/>
            <sz val="9"/>
            <color rgb="FF000000"/>
            <rFont val="Tahoma"/>
            <family val="2"/>
          </rPr>
          <t>Remo Graf</t>
        </r>
        <r>
          <rPr>
            <b/>
            <sz val="9"/>
            <color rgb="FF000000"/>
            <rFont val="Tahoma"/>
            <family val="2"/>
          </rPr>
          <t xml:space="preserve">
Prozentualer Anteil  technische mittlere Anlage Skript WRG und Energie</t>
        </r>
      </text>
    </comment>
    <comment ref="C102" authorId="0" shapeId="0" xr:uid="{00000000-0006-0000-0800-000006000000}">
      <text>
        <r>
          <rPr>
            <b/>
            <sz val="9"/>
            <color rgb="FF000000"/>
            <rFont val="Tahoma"/>
            <family val="2"/>
          </rPr>
          <t>Remo Graf</t>
        </r>
        <r>
          <rPr>
            <b/>
            <sz val="9"/>
            <color rgb="FF000000"/>
            <rFont val="Tahoma"/>
            <family val="2"/>
          </rPr>
          <t xml:space="preserve">
Prozentualer Anteil  technische mittlere Anlage Skript WRG und Energie</t>
        </r>
      </text>
    </comment>
  </commentList>
</comments>
</file>

<file path=xl/sharedStrings.xml><?xml version="1.0" encoding="utf-8"?>
<sst xmlns="http://schemas.openxmlformats.org/spreadsheetml/2006/main" count="436" uniqueCount="142">
  <si>
    <t>Volumenstrom Badebetrieb</t>
  </si>
  <si>
    <r>
      <t>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>/h</t>
    </r>
  </si>
  <si>
    <t>Volumenstrom Ruhebetrieb</t>
  </si>
  <si>
    <t>Min Volumenstrom Fenster</t>
  </si>
  <si>
    <t>Volumenstrom Wärmebedarf</t>
  </si>
  <si>
    <t>Berechnungen Badebetrieb</t>
  </si>
  <si>
    <t>Berechnung Luftdruck</t>
  </si>
  <si>
    <t>geg</t>
  </si>
  <si>
    <t>Normdruck</t>
  </si>
  <si>
    <t>mbar</t>
  </si>
  <si>
    <t>Meereshöhe</t>
  </si>
  <si>
    <t>km</t>
  </si>
  <si>
    <t>ges</t>
  </si>
  <si>
    <t>Luftdruck bei Meereshöhe</t>
  </si>
  <si>
    <t>Sättigunstemperatur</t>
  </si>
  <si>
    <t>°C</t>
  </si>
  <si>
    <t>Sättigungsdruck</t>
  </si>
  <si>
    <t>Pa</t>
  </si>
  <si>
    <t>Umrechnung Pascal in Millibar</t>
  </si>
  <si>
    <t>Sätigungsdruck</t>
  </si>
  <si>
    <t>Berechnung Partialdruck</t>
  </si>
  <si>
    <t>Barometerdruck</t>
  </si>
  <si>
    <t>Feuchte Raum</t>
  </si>
  <si>
    <t>g/kg</t>
  </si>
  <si>
    <t>Partialdruck</t>
  </si>
  <si>
    <t>Wasserdampanfall Schwimmbad</t>
  </si>
  <si>
    <t>Verdunstungswert ε</t>
  </si>
  <si>
    <r>
      <t>g/m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>*h*mbar</t>
    </r>
  </si>
  <si>
    <t>Fläche</t>
  </si>
  <si>
    <r>
      <t>m</t>
    </r>
    <r>
      <rPr>
        <vertAlign val="superscript"/>
        <sz val="11"/>
        <color rgb="FF000000"/>
        <rFont val="Calibri"/>
        <family val="2"/>
      </rPr>
      <t>2</t>
    </r>
  </si>
  <si>
    <t xml:space="preserve">Wasserdampfsättigungsdruck </t>
  </si>
  <si>
    <t>Wasserdampfdruck</t>
  </si>
  <si>
    <t>Wasserdampfanfall</t>
  </si>
  <si>
    <t>g/h</t>
  </si>
  <si>
    <t>Wasserdampanfall Whirlpool</t>
  </si>
  <si>
    <t>Verdunstungswert</t>
  </si>
  <si>
    <r>
      <t>g/h*m</t>
    </r>
    <r>
      <rPr>
        <vertAlign val="superscript"/>
        <sz val="11"/>
        <color rgb="FF000000"/>
        <rFont val="Calibri"/>
        <family val="2"/>
      </rPr>
      <t>2</t>
    </r>
  </si>
  <si>
    <t>Wasserdampf total</t>
  </si>
  <si>
    <t>Dichteermittlung Luft</t>
  </si>
  <si>
    <t>Normdichte</t>
  </si>
  <si>
    <r>
      <t>kg/m</t>
    </r>
    <r>
      <rPr>
        <vertAlign val="superscript"/>
        <sz val="11"/>
        <color rgb="FF000000"/>
        <rFont val="Calibri"/>
        <family val="2"/>
      </rPr>
      <t>3</t>
    </r>
  </si>
  <si>
    <t>Temp</t>
  </si>
  <si>
    <t>Druck</t>
  </si>
  <si>
    <t>Dichte</t>
  </si>
  <si>
    <t>Volumenstrom über Wasserdampf</t>
  </si>
  <si>
    <t>Feuchte ZUL</t>
  </si>
  <si>
    <t>Dichte Luft</t>
  </si>
  <si>
    <t>Volumenstrom über Dampfanfall</t>
  </si>
  <si>
    <r>
      <t>m</t>
    </r>
    <r>
      <rPr>
        <b/>
        <vertAlign val="superscript"/>
        <sz val="11"/>
        <color rgb="FF000000"/>
        <rFont val="Calibri"/>
        <family val="2"/>
      </rPr>
      <t>3</t>
    </r>
    <r>
      <rPr>
        <b/>
        <sz val="11"/>
        <color rgb="FF000000"/>
        <rFont val="Calibri"/>
        <family val="2"/>
      </rPr>
      <t>/h</t>
    </r>
  </si>
  <si>
    <t>Berechnungen Ruhebetrieb</t>
  </si>
  <si>
    <t>Druck absolut</t>
  </si>
  <si>
    <t>Min Volumentrom Fenster</t>
  </si>
  <si>
    <t>Volumenstrom gegen Kondenz</t>
  </si>
  <si>
    <r>
      <t>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>/h*m</t>
    </r>
  </si>
  <si>
    <t>Laufmeter Fenster</t>
  </si>
  <si>
    <t>m</t>
  </si>
  <si>
    <t>Berechnung Wärmeanfall</t>
  </si>
  <si>
    <t>Transmissionsverlust</t>
  </si>
  <si>
    <t>spezifische Transmisssionsverlust</t>
  </si>
  <si>
    <r>
      <t>W/m</t>
    </r>
    <r>
      <rPr>
        <vertAlign val="superscript"/>
        <sz val="11"/>
        <color rgb="FF000000"/>
        <rFont val="Calibri"/>
        <family val="2"/>
      </rPr>
      <t>2</t>
    </r>
  </si>
  <si>
    <t>W</t>
  </si>
  <si>
    <t>Anteil Lüftung</t>
  </si>
  <si>
    <t>Bruttofläche</t>
  </si>
  <si>
    <t>Spez Transmissionsverlust</t>
  </si>
  <si>
    <t>Spezifische Wärmeleistung FBH</t>
  </si>
  <si>
    <t>Anteil FBH</t>
  </si>
  <si>
    <t>Transmissionsverlust Anteil FBH</t>
  </si>
  <si>
    <t>Transmissionsverlust Anteil Lüftung</t>
  </si>
  <si>
    <t>Temperatur</t>
  </si>
  <si>
    <t xml:space="preserve">Volumenstrom nach Wärmebedarf </t>
  </si>
  <si>
    <t>Spezifische Wärmekapazität</t>
  </si>
  <si>
    <t>W/kJ*K</t>
  </si>
  <si>
    <t>Temperaturfifferenz</t>
  </si>
  <si>
    <t>K</t>
  </si>
  <si>
    <t>Volumenstrom nach Wärmelast</t>
  </si>
  <si>
    <t>Berechnung Personenbelegung</t>
  </si>
  <si>
    <t>Personenbelegung</t>
  </si>
  <si>
    <t>Spezifische Personenbelegung</t>
  </si>
  <si>
    <r>
      <t>m</t>
    </r>
    <r>
      <rPr>
        <vertAlign val="superscript"/>
        <sz val="11"/>
        <color rgb="FF000000"/>
        <rFont val="Calibri"/>
        <family val="2"/>
      </rPr>
      <t>2</t>
    </r>
    <r>
      <rPr>
        <sz val="11"/>
        <color rgb="FF000000"/>
        <rFont val="Calibri"/>
        <family val="2"/>
      </rPr>
      <t>/Pers</t>
    </r>
  </si>
  <si>
    <t>Anzahl Personen</t>
  </si>
  <si>
    <t>Pers</t>
  </si>
  <si>
    <t>Minimaler Frischluftvolumenstrom</t>
  </si>
  <si>
    <r>
      <t>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>/h*Pers</t>
    </r>
  </si>
  <si>
    <t>Volumenstrom</t>
  </si>
  <si>
    <t>Berechnung Energie / Kosten</t>
  </si>
  <si>
    <t>Var 1 Luftenfeuchtung mit Kältemaschiene</t>
  </si>
  <si>
    <t>Var 2 Luftenfeuchtung durch Aussenluft-Umluft-Gemisch ohne WRG</t>
  </si>
  <si>
    <t>Var 3 Luftenfeuchtung durch Aussenluft-Umluft-Gemisch mit WRG</t>
  </si>
  <si>
    <t>Var 4 Luftenfeuchtung spezieller Monoblock für Schwimmbadentfeuchtung</t>
  </si>
  <si>
    <t>Investition</t>
  </si>
  <si>
    <t>Spez. Investitionskosten</t>
  </si>
  <si>
    <r>
      <t>Fr./m</t>
    </r>
    <r>
      <rPr>
        <vertAlign val="superscript"/>
        <sz val="11"/>
        <color rgb="FF000000"/>
        <rFont val="Calibri"/>
        <family val="2"/>
      </rPr>
      <t>3</t>
    </r>
    <r>
      <rPr>
        <sz val="11"/>
        <color rgb="FF000000"/>
        <rFont val="Calibri"/>
        <family val="2"/>
      </rPr>
      <t>/h</t>
    </r>
  </si>
  <si>
    <t>Investitionskosten Monobloc</t>
  </si>
  <si>
    <t>Fr.</t>
  </si>
  <si>
    <t>Schätzung Investition Kanalnetz</t>
  </si>
  <si>
    <t>Investition Var 1</t>
  </si>
  <si>
    <t>Kapitalkosten</t>
  </si>
  <si>
    <t>Anuitätskosten</t>
  </si>
  <si>
    <t>Infestitionskosten</t>
  </si>
  <si>
    <t>Kaitalkosten</t>
  </si>
  <si>
    <t>Wartungskosten</t>
  </si>
  <si>
    <t>Prozentualer Anteil Wartung</t>
  </si>
  <si>
    <t>%</t>
  </si>
  <si>
    <t>Wartung jährlich</t>
  </si>
  <si>
    <t>Betriebskosten Kondesator</t>
  </si>
  <si>
    <t>Betriebsstunden Badebetrieb</t>
  </si>
  <si>
    <t>h</t>
  </si>
  <si>
    <t>Betriebsstunden Ruhebetrieb</t>
  </si>
  <si>
    <t>Energiekosten</t>
  </si>
  <si>
    <t>Fr./kWh</t>
  </si>
  <si>
    <t>Kosten Strom Badebetrieb</t>
  </si>
  <si>
    <t>Kosten Strom Ruhebetrieb</t>
  </si>
  <si>
    <t>Energiekosten Strom Total</t>
  </si>
  <si>
    <t>Schätzung Infestition Kanalnetz</t>
  </si>
  <si>
    <t>Investition Var 2</t>
  </si>
  <si>
    <t>Dichteermittlung mittleren Luftteperatur</t>
  </si>
  <si>
    <t>Betriebskosten Lufterhitzer</t>
  </si>
  <si>
    <t>mittlere Jahrestemperatur</t>
  </si>
  <si>
    <t>Minimale Aussenlufttemperatur</t>
  </si>
  <si>
    <t>Luftvolumenstrom Badebetrieb</t>
  </si>
  <si>
    <t>LuftvolumenstromRuhebetrieb</t>
  </si>
  <si>
    <t>Luftdichte</t>
  </si>
  <si>
    <t>Energiepreis Ölheizung</t>
  </si>
  <si>
    <t>Wirkungsgrad WRG</t>
  </si>
  <si>
    <t>Energiebedarf Lufterhitzer Badebetrieb</t>
  </si>
  <si>
    <t>kWh</t>
  </si>
  <si>
    <t>Energiebedarflufterhitzer Ruhebetrieb</t>
  </si>
  <si>
    <t>Kosten Lufterhitzer ölbetrieben Badebetrieb</t>
  </si>
  <si>
    <t>Kosten Lufterhitzer ölbetrieben Ruhebetrieb</t>
  </si>
  <si>
    <t>Energiekosten Öl Total</t>
  </si>
  <si>
    <t>Var 3 Luftenfeuchtung durch Aussenluft-Umluft-Gemisch WRG</t>
  </si>
  <si>
    <t>Energiekosten Total</t>
  </si>
  <si>
    <t>Berechnug Sättigungsdruck Wasser</t>
  </si>
  <si>
    <t>Feuchte Raum SOLL</t>
  </si>
  <si>
    <t>Wasserdampfanfall Whirlpool</t>
  </si>
  <si>
    <t>Berechnungen Luftmenge Fenster</t>
  </si>
  <si>
    <t>Rinnenfaktor</t>
  </si>
  <si>
    <t>Wasserdampfanfall Total</t>
  </si>
  <si>
    <t>Spezifische Frischluftrate</t>
  </si>
  <si>
    <t>Berechnung Volumenströme</t>
  </si>
  <si>
    <t xml:space="preserve">Volumenstrom min Frischluft (Personen) </t>
  </si>
  <si>
    <t>mind. einzuhalten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</si>
</sst>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</font>
    <font>
      <sz val="14"/>
      <color rgb="FF000000"/>
      <name val="Calibri"/>
      <family val="2"/>
    </font>
    <font>
      <vertAlign val="superscript"/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1"/>
      <color rgb="FF000000"/>
      <name val="Calibri"/>
      <family val="2"/>
    </font>
    <font>
      <b/>
      <vertAlign val="superscript"/>
      <sz val="11"/>
      <color rgb="FF000000"/>
      <name val="Calibr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2" borderId="0" xfId="0" applyFill="1"/>
    <xf numFmtId="2" fontId="5" fillId="0" borderId="1" xfId="0" applyNumberFormat="1" applyFont="1" applyBorder="1"/>
    <xf numFmtId="0" fontId="5" fillId="0" borderId="1" xfId="0" applyFont="1" applyBorder="1"/>
    <xf numFmtId="1" fontId="0" fillId="0" borderId="0" xfId="0" applyNumberFormat="1"/>
    <xf numFmtId="0" fontId="5" fillId="0" borderId="0" xfId="0" applyFont="1"/>
    <xf numFmtId="2" fontId="0" fillId="2" borderId="0" xfId="0" applyNumberFormat="1" applyFill="1"/>
    <xf numFmtId="2" fontId="0" fillId="3" borderId="0" xfId="0" applyNumberFormat="1" applyFill="1"/>
    <xf numFmtId="2" fontId="0" fillId="4" borderId="0" xfId="0" applyNumberFormat="1" applyFill="1"/>
    <xf numFmtId="2" fontId="0" fillId="5" borderId="0" xfId="0" applyNumberFormat="1" applyFill="1"/>
    <xf numFmtId="0" fontId="0" fillId="4" borderId="0" xfId="0" applyFill="1"/>
  </cellXfs>
  <cellStyles count="1">
    <cellStyle name="Standard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695739</xdr:colOff>
      <xdr:row>0</xdr:row>
      <xdr:rowOff>132522</xdr:rowOff>
    </xdr:from>
    <xdr:to>
      <xdr:col>9</xdr:col>
      <xdr:colOff>559827</xdr:colOff>
      <xdr:row>10</xdr:row>
      <xdr:rowOff>47586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E11C6C8-4BE7-BC0E-47FC-25F33FF3B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64652" y="132522"/>
          <a:ext cx="3867349" cy="1930499"/>
        </a:xfrm>
        <a:prstGeom prst="rect">
          <a:avLst/>
        </a:prstGeom>
      </xdr:spPr>
    </xdr:pic>
    <xdr:clientData/>
  </xdr:twoCellAnchor>
  <xdr:twoCellAnchor editAs="oneCell">
    <xdr:from>
      <xdr:col>4</xdr:col>
      <xdr:colOff>662608</xdr:colOff>
      <xdr:row>10</xdr:row>
      <xdr:rowOff>160130</xdr:rowOff>
    </xdr:from>
    <xdr:to>
      <xdr:col>9</xdr:col>
      <xdr:colOff>660053</xdr:colOff>
      <xdr:row>24</xdr:row>
      <xdr:rowOff>180969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C208F0FC-C19B-891C-651E-37A3000DE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31521" y="2175565"/>
          <a:ext cx="4000706" cy="2571882"/>
        </a:xfrm>
        <a:prstGeom prst="rect">
          <a:avLst/>
        </a:prstGeom>
      </xdr:spPr>
    </xdr:pic>
    <xdr:clientData/>
  </xdr:twoCellAnchor>
  <xdr:twoCellAnchor editAs="oneCell">
    <xdr:from>
      <xdr:col>9</xdr:col>
      <xdr:colOff>778564</xdr:colOff>
      <xdr:row>0</xdr:row>
      <xdr:rowOff>0</xdr:rowOff>
    </xdr:from>
    <xdr:to>
      <xdr:col>14</xdr:col>
      <xdr:colOff>7619</xdr:colOff>
      <xdr:row>14</xdr:row>
      <xdr:rowOff>68891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D6C553E5-36DC-46BA-7350-3904DA1E6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50738" y="0"/>
          <a:ext cx="3232316" cy="28131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92262</xdr:rowOff>
    </xdr:from>
    <xdr:ext cx="2804272" cy="1855125"/>
    <xdr:pic>
      <xdr:nvPicPr>
        <xdr:cNvPr id="2" name="Grafik 1">
          <a:extLst>
            <a:ext uri="{FF2B5EF4-FFF2-40B4-BE49-F238E27FC236}">
              <a16:creationId xmlns:a16="http://schemas.microsoft.com/office/drawing/2014/main" id="{301D9A0A-C4FA-B983-0C2D-D2E0E2A81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/>
        <a:stretch>
          <a:fillRect/>
        </a:stretch>
      </xdr:blipFill>
      <xdr:spPr>
        <a:xfrm>
          <a:off x="5591175" y="330387"/>
          <a:ext cx="2804272" cy="1855125"/>
        </a:xfrm>
        <a:prstGeom prst="rect">
          <a:avLst/>
        </a:prstGeom>
      </xdr:spPr>
    </xdr:pic>
    <xdr:clientData/>
  </xdr:oneCellAnchor>
  <xdr:oneCellAnchor>
    <xdr:from>
      <xdr:col>7</xdr:col>
      <xdr:colOff>752798</xdr:colOff>
      <xdr:row>6</xdr:row>
      <xdr:rowOff>73508</xdr:rowOff>
    </xdr:from>
    <xdr:ext cx="2747442" cy="440768"/>
    <xdr:pic>
      <xdr:nvPicPr>
        <xdr:cNvPr id="3" name="Grafik 3">
          <a:extLst>
            <a:ext uri="{FF2B5EF4-FFF2-40B4-BE49-F238E27FC236}">
              <a16:creationId xmlns:a16="http://schemas.microsoft.com/office/drawing/2014/main" id="{661C118B-1098-2D14-9EFD-E6E6A2BFC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/>
        <a:stretch>
          <a:fillRect/>
        </a:stretch>
      </xdr:blipFill>
      <xdr:spPr>
        <a:xfrm>
          <a:off x="8963348" y="1264133"/>
          <a:ext cx="2747442" cy="440768"/>
        </a:xfrm>
        <a:prstGeom prst="rect">
          <a:avLst/>
        </a:prstGeom>
      </xdr:spPr>
    </xdr:pic>
    <xdr:clientData/>
  </xdr:oneCellAnchor>
  <xdr:oneCellAnchor>
    <xdr:from>
      <xdr:col>7</xdr:col>
      <xdr:colOff>749140</xdr:colOff>
      <xdr:row>13</xdr:row>
      <xdr:rowOff>69658</xdr:rowOff>
    </xdr:from>
    <xdr:ext cx="3040535" cy="479813"/>
    <xdr:pic>
      <xdr:nvPicPr>
        <xdr:cNvPr id="5" name="Grafik 4">
          <a:extLst>
            <a:ext uri="{FF2B5EF4-FFF2-40B4-BE49-F238E27FC236}">
              <a16:creationId xmlns:a16="http://schemas.microsoft.com/office/drawing/2014/main" id="{00922B11-98A6-053D-CFBD-B359A83DF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/>
        <a:stretch>
          <a:fillRect/>
        </a:stretch>
      </xdr:blipFill>
      <xdr:spPr>
        <a:xfrm>
          <a:off x="8959690" y="2593783"/>
          <a:ext cx="3040535" cy="479813"/>
        </a:xfrm>
        <a:prstGeom prst="rect">
          <a:avLst/>
        </a:prstGeom>
      </xdr:spPr>
    </xdr:pic>
    <xdr:clientData/>
  </xdr:oneCellAnchor>
  <xdr:oneCellAnchor>
    <xdr:from>
      <xdr:col>8</xdr:col>
      <xdr:colOff>4041</xdr:colOff>
      <xdr:row>19</xdr:row>
      <xdr:rowOff>69274</xdr:rowOff>
    </xdr:from>
    <xdr:ext cx="1058143" cy="369454"/>
    <xdr:pic>
      <xdr:nvPicPr>
        <xdr:cNvPr id="6" name="Grafik 5">
          <a:extLst>
            <a:ext uri="{FF2B5EF4-FFF2-40B4-BE49-F238E27FC236}">
              <a16:creationId xmlns:a16="http://schemas.microsoft.com/office/drawing/2014/main" id="{88BD36C7-E189-781C-2E22-CE309E8B3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/>
        <a:stretch>
          <a:fillRect/>
        </a:stretch>
      </xdr:blipFill>
      <xdr:spPr>
        <a:xfrm>
          <a:off x="8976591" y="3736399"/>
          <a:ext cx="1058143" cy="369454"/>
        </a:xfrm>
        <a:prstGeom prst="rect">
          <a:avLst/>
        </a:prstGeom>
      </xdr:spPr>
    </xdr:pic>
    <xdr:clientData/>
  </xdr:oneCellAnchor>
  <xdr:oneCellAnchor>
    <xdr:from>
      <xdr:col>7</xdr:col>
      <xdr:colOff>734784</xdr:colOff>
      <xdr:row>26</xdr:row>
      <xdr:rowOff>76196</xdr:rowOff>
    </xdr:from>
    <xdr:ext cx="3499756" cy="436690"/>
    <xdr:pic>
      <xdr:nvPicPr>
        <xdr:cNvPr id="7" name="Grafik 6">
          <a:extLst>
            <a:ext uri="{FF2B5EF4-FFF2-40B4-BE49-F238E27FC236}">
              <a16:creationId xmlns:a16="http://schemas.microsoft.com/office/drawing/2014/main" id="{9DAC2431-32A5-B721-54B6-A899058AC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/>
        <a:stretch>
          <a:fillRect/>
        </a:stretch>
      </xdr:blipFill>
      <xdr:spPr>
        <a:xfrm>
          <a:off x="8945334" y="5076821"/>
          <a:ext cx="3499756" cy="436690"/>
        </a:xfrm>
        <a:prstGeom prst="rect">
          <a:avLst/>
        </a:prstGeom>
      </xdr:spPr>
    </xdr:pic>
    <xdr:clientData/>
  </xdr:oneCellAnchor>
  <xdr:oneCellAnchor>
    <xdr:from>
      <xdr:col>7</xdr:col>
      <xdr:colOff>757918</xdr:colOff>
      <xdr:row>36</xdr:row>
      <xdr:rowOff>10881</xdr:rowOff>
    </xdr:from>
    <xdr:ext cx="2016123" cy="519790"/>
    <xdr:pic>
      <xdr:nvPicPr>
        <xdr:cNvPr id="10" name="Grafik 7">
          <a:extLst>
            <a:ext uri="{FF2B5EF4-FFF2-40B4-BE49-F238E27FC236}">
              <a16:creationId xmlns:a16="http://schemas.microsoft.com/office/drawing/2014/main" id="{A2EFAAF9-789D-9545-C0E5-8DCEB0007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/>
        <a:stretch>
          <a:fillRect/>
        </a:stretch>
      </xdr:blipFill>
      <xdr:spPr>
        <a:xfrm>
          <a:off x="8968468" y="6973656"/>
          <a:ext cx="2016123" cy="519790"/>
        </a:xfrm>
        <a:prstGeom prst="rect">
          <a:avLst/>
        </a:prstGeom>
      </xdr:spPr>
    </xdr:pic>
    <xdr:clientData/>
  </xdr:oneCellAnchor>
  <xdr:oneCellAnchor>
    <xdr:from>
      <xdr:col>13</xdr:col>
      <xdr:colOff>725713</xdr:colOff>
      <xdr:row>27</xdr:row>
      <xdr:rowOff>172766</xdr:rowOff>
    </xdr:from>
    <xdr:ext cx="3467688" cy="4897133"/>
    <xdr:pic>
      <xdr:nvPicPr>
        <xdr:cNvPr id="8" name="Grafik 9">
          <a:extLst>
            <a:ext uri="{FF2B5EF4-FFF2-40B4-BE49-F238E27FC236}">
              <a16:creationId xmlns:a16="http://schemas.microsoft.com/office/drawing/2014/main" id="{C370C242-D02B-20B9-4000-D2E764880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/>
        <a:stretch>
          <a:fillRect/>
        </a:stretch>
      </xdr:blipFill>
      <xdr:spPr>
        <a:xfrm>
          <a:off x="13508263" y="5363891"/>
          <a:ext cx="3467688" cy="4897133"/>
        </a:xfrm>
        <a:prstGeom prst="rect">
          <a:avLst/>
        </a:prstGeom>
      </xdr:spPr>
    </xdr:pic>
    <xdr:clientData/>
  </xdr:oneCellAnchor>
  <xdr:twoCellAnchor editAs="oneCell">
    <xdr:from>
      <xdr:col>4</xdr:col>
      <xdr:colOff>139700</xdr:colOff>
      <xdr:row>42</xdr:row>
      <xdr:rowOff>12700</xdr:rowOff>
    </xdr:from>
    <xdr:to>
      <xdr:col>7</xdr:col>
      <xdr:colOff>463749</xdr:colOff>
      <xdr:row>58</xdr:row>
      <xdr:rowOff>177965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6F94D6F2-C296-34FE-0F07-CC09D3020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0650" y="8032750"/>
          <a:ext cx="3867349" cy="321326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190500</xdr:rowOff>
    </xdr:from>
    <xdr:to>
      <xdr:col>7</xdr:col>
      <xdr:colOff>44333</xdr:colOff>
      <xdr:row>16</xdr:row>
      <xdr:rowOff>133502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FD3A93BB-DF3D-09DA-71BF-C7BFD43DE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0442" y="2146788"/>
          <a:ext cx="2667372" cy="10860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768350</xdr:colOff>
      <xdr:row>0</xdr:row>
      <xdr:rowOff>0</xdr:rowOff>
    </xdr:from>
    <xdr:to>
      <xdr:col>11</xdr:col>
      <xdr:colOff>495633</xdr:colOff>
      <xdr:row>19</xdr:row>
      <xdr:rowOff>114492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4B476B6-3EA1-B073-C73A-9BD44E688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29250" y="0"/>
          <a:ext cx="6470983" cy="37276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381000</xdr:colOff>
      <xdr:row>4</xdr:row>
      <xdr:rowOff>50800</xdr:rowOff>
    </xdr:from>
    <xdr:to>
      <xdr:col>12</xdr:col>
      <xdr:colOff>495635</xdr:colOff>
      <xdr:row>13</xdr:row>
      <xdr:rowOff>76290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CDBC8DE-43CD-CCBC-DD1F-E048A9325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4200" y="838200"/>
          <a:ext cx="6515435" cy="1759040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zoomScale="85" zoomScaleNormal="85" workbookViewId="0">
      <selection activeCell="M30" sqref="M30"/>
    </sheetView>
  </sheetViews>
  <sheetFormatPr baseColWidth="10" defaultColWidth="11.42578125" defaultRowHeight="15" x14ac:dyDescent="0.25"/>
  <cols>
    <col min="1" max="1" width="35.28515625" bestFit="1" customWidth="1"/>
    <col min="2" max="2" width="7.5703125" bestFit="1" customWidth="1"/>
    <col min="3" max="3" width="5.42578125" bestFit="1" customWidth="1"/>
    <col min="4" max="4" width="11.42578125" customWidth="1"/>
  </cols>
  <sheetData>
    <row r="1" spans="1:4" ht="18.75" x14ac:dyDescent="0.3">
      <c r="A1" s="1" t="s">
        <v>139</v>
      </c>
    </row>
    <row r="3" spans="1:4" ht="17.25" x14ac:dyDescent="0.25">
      <c r="A3" t="s">
        <v>0</v>
      </c>
      <c r="B3" s="9">
        <f>Volumenstrom_Badebetrieb!C67</f>
        <v>72.102370460921065</v>
      </c>
      <c r="C3" t="s">
        <v>1</v>
      </c>
    </row>
    <row r="4" spans="1:4" ht="17.25" x14ac:dyDescent="0.25">
      <c r="A4" t="s">
        <v>2</v>
      </c>
      <c r="B4" s="2">
        <f>Volumenstrom_Ruhebetrieb!C38</f>
        <v>100.30247228610735</v>
      </c>
      <c r="C4" t="s">
        <v>1</v>
      </c>
    </row>
    <row r="5" spans="1:4" ht="17.25" x14ac:dyDescent="0.25">
      <c r="A5" t="s">
        <v>3</v>
      </c>
      <c r="B5" s="2">
        <f>Min_Volumenstrom_für_Fenster!C8</f>
        <v>1187.5</v>
      </c>
      <c r="C5" t="s">
        <v>1</v>
      </c>
    </row>
    <row r="7" spans="1:4" ht="17.25" x14ac:dyDescent="0.25">
      <c r="A7" t="s">
        <v>4</v>
      </c>
      <c r="B7" s="2">
        <f>Volumenstrom_über_Wärmeanfall!C41</f>
        <v>1580.3470422021232</v>
      </c>
      <c r="C7" t="s">
        <v>1</v>
      </c>
    </row>
    <row r="8" spans="1:4" ht="17.25" x14ac:dyDescent="0.25">
      <c r="A8" t="s">
        <v>140</v>
      </c>
      <c r="B8" s="12">
        <f>Volumenstrom_nach_Personenbeleg!C14</f>
        <v>600</v>
      </c>
      <c r="C8" t="s">
        <v>1</v>
      </c>
      <c r="D8" t="s">
        <v>141</v>
      </c>
    </row>
  </sheetData>
  <pageMargins left="0.70000000000000007" right="0.70000000000000007" top="0.78740157500000008" bottom="0.78740157500000008" header="0.30000000000000004" footer="0.30000000000000004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8"/>
  <sheetViews>
    <sheetView tabSelected="1" topLeftCell="A20" zoomScale="145" zoomScaleNormal="145" workbookViewId="0">
      <selection activeCell="F31" sqref="F31"/>
    </sheetView>
  </sheetViews>
  <sheetFormatPr baseColWidth="10" defaultColWidth="11.42578125" defaultRowHeight="15" x14ac:dyDescent="0.25"/>
  <cols>
    <col min="1" max="1" width="11.42578125" customWidth="1"/>
    <col min="2" max="2" width="30.28515625" bestFit="1" customWidth="1"/>
    <col min="3" max="3" width="17.7109375" style="2" bestFit="1" customWidth="1"/>
    <col min="4" max="4" width="13" bestFit="1" customWidth="1"/>
    <col min="5" max="6" width="11.42578125" customWidth="1"/>
    <col min="7" max="7" width="27.85546875" bestFit="1" customWidth="1"/>
    <col min="8" max="8" width="11.42578125" customWidth="1"/>
  </cols>
  <sheetData>
    <row r="1" spans="1:4" ht="18.75" x14ac:dyDescent="0.3">
      <c r="A1" s="1" t="s">
        <v>5</v>
      </c>
    </row>
    <row r="2" spans="1:4" ht="15" customHeight="1" x14ac:dyDescent="0.3">
      <c r="A2" s="1"/>
    </row>
    <row r="3" spans="1:4" ht="15" customHeight="1" x14ac:dyDescent="0.25">
      <c r="A3" s="3" t="s">
        <v>6</v>
      </c>
      <c r="B3" s="3"/>
    </row>
    <row r="4" spans="1:4" ht="15" customHeight="1" x14ac:dyDescent="0.25"/>
    <row r="5" spans="1:4" ht="15" customHeight="1" x14ac:dyDescent="0.25">
      <c r="A5" t="s">
        <v>7</v>
      </c>
      <c r="B5" t="s">
        <v>8</v>
      </c>
      <c r="C5" s="2">
        <v>1013.25</v>
      </c>
      <c r="D5" t="s">
        <v>9</v>
      </c>
    </row>
    <row r="6" spans="1:4" ht="15" customHeight="1" x14ac:dyDescent="0.25">
      <c r="B6" t="s">
        <v>10</v>
      </c>
      <c r="C6" s="2">
        <v>0.4</v>
      </c>
      <c r="D6" t="s">
        <v>11</v>
      </c>
    </row>
    <row r="7" spans="1:4" ht="15" customHeight="1" x14ac:dyDescent="0.25"/>
    <row r="8" spans="1:4" ht="15" customHeight="1" x14ac:dyDescent="0.25">
      <c r="A8" t="s">
        <v>12</v>
      </c>
      <c r="B8" t="s">
        <v>13</v>
      </c>
      <c r="C8" s="2">
        <f>C5*((1-(6.5/288))*C6)^5.256</f>
        <v>7.2783925893469856</v>
      </c>
    </row>
    <row r="9" spans="1:4" ht="15" customHeight="1" x14ac:dyDescent="0.25"/>
    <row r="10" spans="1:4" ht="15" customHeight="1" x14ac:dyDescent="0.25"/>
    <row r="11" spans="1:4" ht="15" customHeight="1" x14ac:dyDescent="0.25">
      <c r="A11" t="s">
        <v>132</v>
      </c>
    </row>
    <row r="12" spans="1:4" ht="15" customHeight="1" x14ac:dyDescent="0.25"/>
    <row r="13" spans="1:4" ht="15" customHeight="1" x14ac:dyDescent="0.25">
      <c r="A13" t="s">
        <v>7</v>
      </c>
      <c r="B13" t="s">
        <v>14</v>
      </c>
      <c r="C13" s="2">
        <v>32</v>
      </c>
      <c r="D13" t="s">
        <v>15</v>
      </c>
    </row>
    <row r="14" spans="1:4" ht="15" customHeight="1" x14ac:dyDescent="0.25"/>
    <row r="15" spans="1:4" ht="15" customHeight="1" x14ac:dyDescent="0.25">
      <c r="A15" t="s">
        <v>12</v>
      </c>
      <c r="B15" t="s">
        <v>16</v>
      </c>
      <c r="C15" s="9">
        <f>288.86*(1.098+(C13/100))^8.02</f>
        <v>4754.7838432562157</v>
      </c>
      <c r="D15" t="s">
        <v>17</v>
      </c>
    </row>
    <row r="16" spans="1:4" ht="15" customHeight="1" x14ac:dyDescent="0.25"/>
    <row r="17" spans="1:4" ht="15" customHeight="1" x14ac:dyDescent="0.25">
      <c r="A17" t="s">
        <v>18</v>
      </c>
    </row>
    <row r="18" spans="1:4" ht="15" customHeight="1" x14ac:dyDescent="0.25"/>
    <row r="19" spans="1:4" ht="15" customHeight="1" x14ac:dyDescent="0.25">
      <c r="A19" t="s">
        <v>7</v>
      </c>
      <c r="B19" t="s">
        <v>19</v>
      </c>
      <c r="C19" s="2">
        <f>C15</f>
        <v>4754.7838432562157</v>
      </c>
      <c r="D19" t="s">
        <v>17</v>
      </c>
    </row>
    <row r="20" spans="1:4" ht="15" customHeight="1" x14ac:dyDescent="0.25"/>
    <row r="21" spans="1:4" ht="15" customHeight="1" x14ac:dyDescent="0.25">
      <c r="B21" t="s">
        <v>16</v>
      </c>
      <c r="C21" s="9">
        <f>C19/100</f>
        <v>47.547838432562159</v>
      </c>
      <c r="D21" t="s">
        <v>9</v>
      </c>
    </row>
    <row r="22" spans="1:4" ht="15" customHeight="1" x14ac:dyDescent="0.25"/>
    <row r="23" spans="1:4" ht="15" customHeight="1" x14ac:dyDescent="0.25">
      <c r="A23" t="s">
        <v>20</v>
      </c>
    </row>
    <row r="24" spans="1:4" ht="15" customHeight="1" x14ac:dyDescent="0.25"/>
    <row r="25" spans="1:4" ht="15" customHeight="1" x14ac:dyDescent="0.25">
      <c r="A25" t="s">
        <v>7</v>
      </c>
      <c r="B25" t="s">
        <v>21</v>
      </c>
      <c r="C25" s="2">
        <v>962</v>
      </c>
      <c r="D25" t="s">
        <v>9</v>
      </c>
    </row>
    <row r="26" spans="1:4" ht="15" customHeight="1" x14ac:dyDescent="0.25">
      <c r="B26" t="s">
        <v>133</v>
      </c>
      <c r="C26" s="2">
        <v>14.3</v>
      </c>
      <c r="D26" t="s">
        <v>23</v>
      </c>
    </row>
    <row r="27" spans="1:4" ht="15" customHeight="1" x14ac:dyDescent="0.25"/>
    <row r="28" spans="1:4" ht="15" customHeight="1" x14ac:dyDescent="0.25">
      <c r="A28" t="s">
        <v>12</v>
      </c>
      <c r="B28" t="s">
        <v>24</v>
      </c>
      <c r="C28" s="10">
        <f>(C25*(C26/1000))/(0.622+(C26/1000))</f>
        <v>21.619676253339623</v>
      </c>
      <c r="D28" t="s">
        <v>9</v>
      </c>
    </row>
    <row r="29" spans="1:4" ht="15" customHeight="1" x14ac:dyDescent="0.25"/>
    <row r="30" spans="1:4" ht="15" customHeight="1" x14ac:dyDescent="0.25"/>
    <row r="31" spans="1:4" x14ac:dyDescent="0.25">
      <c r="A31" t="s">
        <v>25</v>
      </c>
    </row>
    <row r="33" spans="1:4" ht="17.25" x14ac:dyDescent="0.25">
      <c r="A33" t="s">
        <v>7</v>
      </c>
      <c r="B33" t="s">
        <v>26</v>
      </c>
      <c r="C33" s="2">
        <v>4</v>
      </c>
      <c r="D33" t="s">
        <v>27</v>
      </c>
    </row>
    <row r="34" spans="1:4" ht="17.25" x14ac:dyDescent="0.25">
      <c r="B34" t="s">
        <v>28</v>
      </c>
      <c r="C34" s="2">
        <v>5</v>
      </c>
      <c r="D34" t="s">
        <v>29</v>
      </c>
    </row>
    <row r="35" spans="1:4" x14ac:dyDescent="0.25">
      <c r="B35" t="s">
        <v>30</v>
      </c>
      <c r="C35" s="9">
        <f>C21</f>
        <v>47.547838432562159</v>
      </c>
      <c r="D35" t="s">
        <v>9</v>
      </c>
    </row>
    <row r="36" spans="1:4" x14ac:dyDescent="0.25">
      <c r="B36" t="s">
        <v>31</v>
      </c>
      <c r="C36" s="10">
        <v>21.63</v>
      </c>
      <c r="D36" t="s">
        <v>9</v>
      </c>
    </row>
    <row r="38" spans="1:4" x14ac:dyDescent="0.25">
      <c r="A38" t="s">
        <v>12</v>
      </c>
      <c r="B38" t="s">
        <v>32</v>
      </c>
      <c r="C38" s="2">
        <f>C33*C34*(C35-C36)</f>
        <v>518.35676865124321</v>
      </c>
      <c r="D38" t="s">
        <v>33</v>
      </c>
    </row>
    <row r="39" spans="1:4" x14ac:dyDescent="0.25">
      <c r="B39" t="s">
        <v>136</v>
      </c>
      <c r="C39" s="2">
        <v>0.8</v>
      </c>
    </row>
    <row r="41" spans="1:4" x14ac:dyDescent="0.25">
      <c r="B41" t="s">
        <v>137</v>
      </c>
      <c r="C41" s="11">
        <f>SUM(C38*C39)</f>
        <v>414.68541492099462</v>
      </c>
      <c r="D41" t="s">
        <v>33</v>
      </c>
    </row>
    <row r="43" spans="1:4" x14ac:dyDescent="0.25">
      <c r="A43" s="3" t="s">
        <v>34</v>
      </c>
      <c r="B43" s="3"/>
    </row>
    <row r="45" spans="1:4" ht="17.25" x14ac:dyDescent="0.25">
      <c r="A45" t="s">
        <v>7</v>
      </c>
      <c r="B45" t="s">
        <v>35</v>
      </c>
      <c r="C45" s="2">
        <v>1050</v>
      </c>
      <c r="D45" t="s">
        <v>36</v>
      </c>
    </row>
    <row r="46" spans="1:4" ht="17.25" x14ac:dyDescent="0.25">
      <c r="B46" t="s">
        <v>28</v>
      </c>
      <c r="C46" s="2">
        <v>0</v>
      </c>
      <c r="D46" t="s">
        <v>29</v>
      </c>
    </row>
    <row r="48" spans="1:4" x14ac:dyDescent="0.25">
      <c r="A48" t="s">
        <v>12</v>
      </c>
      <c r="B48" t="s">
        <v>32</v>
      </c>
      <c r="C48" s="2">
        <f>C45*C46</f>
        <v>0</v>
      </c>
      <c r="D48" t="s">
        <v>33</v>
      </c>
    </row>
    <row r="50" spans="1:4" x14ac:dyDescent="0.25">
      <c r="A50" t="s">
        <v>37</v>
      </c>
      <c r="D50" t="s">
        <v>33</v>
      </c>
    </row>
    <row r="51" spans="1:4" x14ac:dyDescent="0.25">
      <c r="C51" s="11">
        <f>C48+C41</f>
        <v>414.68541492099462</v>
      </c>
    </row>
    <row r="52" spans="1:4" x14ac:dyDescent="0.25">
      <c r="A52" t="s">
        <v>38</v>
      </c>
    </row>
    <row r="54" spans="1:4" ht="17.25" x14ac:dyDescent="0.25">
      <c r="A54" t="s">
        <v>7</v>
      </c>
      <c r="B54" t="s">
        <v>39</v>
      </c>
      <c r="C54" s="2">
        <v>1.2929999999999999</v>
      </c>
      <c r="D54" t="s">
        <v>40</v>
      </c>
    </row>
    <row r="55" spans="1:4" x14ac:dyDescent="0.25">
      <c r="B55" t="s">
        <v>41</v>
      </c>
      <c r="C55" s="2">
        <v>32</v>
      </c>
      <c r="D55" t="s">
        <v>15</v>
      </c>
    </row>
    <row r="56" spans="1:4" x14ac:dyDescent="0.25">
      <c r="B56" t="s">
        <v>42</v>
      </c>
      <c r="C56" s="2">
        <v>950</v>
      </c>
      <c r="D56" t="s">
        <v>17</v>
      </c>
    </row>
    <row r="58" spans="1:4" ht="17.25" x14ac:dyDescent="0.25">
      <c r="A58" t="s">
        <v>12</v>
      </c>
      <c r="B58" t="s">
        <v>43</v>
      </c>
      <c r="C58" s="2">
        <f>C54*(273.15/(273.15+C55))*(C56/1013.25)</f>
        <v>1.0851589291308479</v>
      </c>
      <c r="D58" t="s">
        <v>40</v>
      </c>
    </row>
    <row r="60" spans="1:4" x14ac:dyDescent="0.25">
      <c r="A60" t="s">
        <v>44</v>
      </c>
    </row>
    <row r="62" spans="1:4" x14ac:dyDescent="0.25">
      <c r="A62" t="s">
        <v>7</v>
      </c>
      <c r="B62" t="s">
        <v>32</v>
      </c>
      <c r="C62" s="11">
        <f>C51</f>
        <v>414.68541492099462</v>
      </c>
      <c r="D62" t="s">
        <v>33</v>
      </c>
    </row>
    <row r="63" spans="1:4" x14ac:dyDescent="0.25">
      <c r="B63" t="s">
        <v>22</v>
      </c>
      <c r="C63" s="2">
        <v>14.3</v>
      </c>
      <c r="D63" t="s">
        <v>23</v>
      </c>
    </row>
    <row r="64" spans="1:4" x14ac:dyDescent="0.25">
      <c r="B64" t="s">
        <v>45</v>
      </c>
      <c r="C64" s="2">
        <v>9</v>
      </c>
      <c r="D64" t="s">
        <v>23</v>
      </c>
    </row>
    <row r="65" spans="1:4" ht="17.25" x14ac:dyDescent="0.25">
      <c r="B65" t="s">
        <v>46</v>
      </c>
      <c r="C65" s="2">
        <f>C58</f>
        <v>1.0851589291308479</v>
      </c>
      <c r="D65" t="s">
        <v>40</v>
      </c>
    </row>
    <row r="67" spans="1:4" ht="18" thickBot="1" x14ac:dyDescent="0.3">
      <c r="A67" t="s">
        <v>12</v>
      </c>
      <c r="B67" t="s">
        <v>47</v>
      </c>
      <c r="C67" s="4">
        <f>C62/((C63-C64)*C65)</f>
        <v>72.102370460921065</v>
      </c>
      <c r="D67" s="5" t="s">
        <v>48</v>
      </c>
    </row>
    <row r="68" spans="1:4" ht="15.75" thickTop="1" x14ac:dyDescent="0.25"/>
  </sheetData>
  <pageMargins left="0.70000000000000007" right="0.70000000000000007" top="0.78740157500000008" bottom="0.78740157500000008" header="0.30000000000000004" footer="0.30000000000000004"/>
  <pageSetup fitToWidth="0" fitToHeight="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topLeftCell="A9" workbookViewId="0">
      <selection activeCell="C6" sqref="C6"/>
    </sheetView>
  </sheetViews>
  <sheetFormatPr baseColWidth="10" defaultColWidth="11.42578125" defaultRowHeight="15" x14ac:dyDescent="0.25"/>
  <cols>
    <col min="1" max="1" width="11.42578125" customWidth="1"/>
    <col min="2" max="2" width="30.28515625" bestFit="1" customWidth="1"/>
    <col min="3" max="3" width="7.5703125" style="2" bestFit="1" customWidth="1"/>
    <col min="4" max="4" width="13" bestFit="1" customWidth="1"/>
    <col min="5" max="6" width="11.42578125" customWidth="1"/>
    <col min="7" max="7" width="27.85546875" bestFit="1" customWidth="1"/>
    <col min="8" max="8" width="11.42578125" customWidth="1"/>
  </cols>
  <sheetData>
    <row r="1" spans="1:4" ht="18.75" x14ac:dyDescent="0.3">
      <c r="A1" s="1" t="s">
        <v>49</v>
      </c>
    </row>
    <row r="3" spans="1:4" x14ac:dyDescent="0.25">
      <c r="A3" t="s">
        <v>25</v>
      </c>
    </row>
    <row r="5" spans="1:4" ht="17.25" x14ac:dyDescent="0.25">
      <c r="A5" t="s">
        <v>7</v>
      </c>
      <c r="B5" t="s">
        <v>26</v>
      </c>
      <c r="C5" s="2">
        <v>5</v>
      </c>
      <c r="D5" t="s">
        <v>27</v>
      </c>
    </row>
    <row r="6" spans="1:4" ht="17.25" x14ac:dyDescent="0.25">
      <c r="B6" t="s">
        <v>28</v>
      </c>
      <c r="C6" s="2">
        <f>Volumenstrom_Badebetrieb!C34</f>
        <v>5</v>
      </c>
      <c r="D6" t="s">
        <v>29</v>
      </c>
    </row>
    <row r="7" spans="1:4" x14ac:dyDescent="0.25">
      <c r="B7" t="s">
        <v>30</v>
      </c>
      <c r="C7" s="2">
        <f>Volumenstrom_Badebetrieb!C35</f>
        <v>47.547838432562159</v>
      </c>
      <c r="D7" t="s">
        <v>9</v>
      </c>
    </row>
    <row r="8" spans="1:4" x14ac:dyDescent="0.25">
      <c r="B8" t="s">
        <v>31</v>
      </c>
      <c r="C8" s="2">
        <f>Volumenstrom_Badebetrieb!C36</f>
        <v>21.63</v>
      </c>
      <c r="D8" t="s">
        <v>9</v>
      </c>
    </row>
    <row r="10" spans="1:4" x14ac:dyDescent="0.25">
      <c r="A10" t="s">
        <v>12</v>
      </c>
      <c r="B10" t="s">
        <v>32</v>
      </c>
      <c r="C10" s="2">
        <f>C5*C6*(C7-C8)</f>
        <v>647.94596081405405</v>
      </c>
      <c r="D10" t="s">
        <v>33</v>
      </c>
    </row>
    <row r="12" spans="1:4" x14ac:dyDescent="0.25">
      <c r="A12" t="s">
        <v>134</v>
      </c>
    </row>
    <row r="13" spans="1:4" ht="17.25" x14ac:dyDescent="0.25">
      <c r="A13" t="s">
        <v>7</v>
      </c>
      <c r="B13" t="s">
        <v>26</v>
      </c>
      <c r="C13" s="2">
        <v>4</v>
      </c>
      <c r="D13" t="s">
        <v>27</v>
      </c>
    </row>
    <row r="14" spans="1:4" ht="17.25" x14ac:dyDescent="0.25">
      <c r="B14" t="s">
        <v>28</v>
      </c>
      <c r="C14" s="2">
        <v>0</v>
      </c>
      <c r="D14" t="s">
        <v>29</v>
      </c>
    </row>
    <row r="15" spans="1:4" x14ac:dyDescent="0.25">
      <c r="B15" t="s">
        <v>30</v>
      </c>
      <c r="C15" s="2">
        <v>33.6</v>
      </c>
      <c r="D15" t="s">
        <v>9</v>
      </c>
    </row>
    <row r="16" spans="1:4" x14ac:dyDescent="0.25">
      <c r="B16" t="s">
        <v>31</v>
      </c>
      <c r="C16" s="2">
        <v>21.63</v>
      </c>
      <c r="D16" t="s">
        <v>9</v>
      </c>
    </row>
    <row r="18" spans="1:4" x14ac:dyDescent="0.25">
      <c r="A18" t="s">
        <v>12</v>
      </c>
      <c r="B18" t="s">
        <v>32</v>
      </c>
      <c r="C18" s="2">
        <f>C13*C14*(C15-C16)</f>
        <v>0</v>
      </c>
      <c r="D18" t="s">
        <v>33</v>
      </c>
    </row>
    <row r="21" spans="1:4" x14ac:dyDescent="0.25">
      <c r="A21" t="s">
        <v>37</v>
      </c>
      <c r="C21" s="2">
        <f>C18+C10</f>
        <v>647.94596081405405</v>
      </c>
      <c r="D21" t="s">
        <v>33</v>
      </c>
    </row>
    <row r="23" spans="1:4" x14ac:dyDescent="0.25">
      <c r="A23" t="s">
        <v>38</v>
      </c>
    </row>
    <row r="25" spans="1:4" ht="17.25" x14ac:dyDescent="0.25">
      <c r="A25" t="s">
        <v>7</v>
      </c>
      <c r="B25" t="s">
        <v>39</v>
      </c>
      <c r="C25" s="2">
        <v>1.2929999999999999</v>
      </c>
      <c r="D25" t="s">
        <v>40</v>
      </c>
    </row>
    <row r="26" spans="1:4" x14ac:dyDescent="0.25">
      <c r="B26" t="s">
        <v>41</v>
      </c>
      <c r="C26" s="2">
        <v>31</v>
      </c>
      <c r="D26" t="s">
        <v>15</v>
      </c>
    </row>
    <row r="27" spans="1:4" x14ac:dyDescent="0.25">
      <c r="B27" t="s">
        <v>50</v>
      </c>
      <c r="C27" s="2">
        <v>950</v>
      </c>
      <c r="D27" t="s">
        <v>17</v>
      </c>
    </row>
    <row r="29" spans="1:4" ht="17.25" x14ac:dyDescent="0.25">
      <c r="A29" t="s">
        <v>12</v>
      </c>
      <c r="B29" t="s">
        <v>43</v>
      </c>
      <c r="C29" s="2">
        <f>C25*(273.15/(273.15+C26))*(C27/1013.25)</f>
        <v>1.088726770423404</v>
      </c>
      <c r="D29" t="s">
        <v>40</v>
      </c>
    </row>
    <row r="31" spans="1:4" x14ac:dyDescent="0.25">
      <c r="A31" t="s">
        <v>44</v>
      </c>
    </row>
    <row r="33" spans="1:4" x14ac:dyDescent="0.25">
      <c r="A33" t="s">
        <v>7</v>
      </c>
      <c r="B33" t="s">
        <v>32</v>
      </c>
      <c r="C33" s="2">
        <f>C21</f>
        <v>647.94596081405405</v>
      </c>
      <c r="D33" t="s">
        <v>33</v>
      </c>
    </row>
    <row r="34" spans="1:4" x14ac:dyDescent="0.25">
      <c r="B34" t="s">
        <v>22</v>
      </c>
      <c r="C34" s="2">
        <v>14.2</v>
      </c>
      <c r="D34" t="s">
        <v>23</v>
      </c>
    </row>
    <row r="35" spans="1:4" x14ac:dyDescent="0.25">
      <c r="B35" t="s">
        <v>45</v>
      </c>
      <c r="C35" s="2">
        <v>9</v>
      </c>
      <c r="D35" t="s">
        <v>23</v>
      </c>
    </row>
    <row r="36" spans="1:4" ht="17.25" x14ac:dyDescent="0.25">
      <c r="B36" t="s">
        <v>46</v>
      </c>
      <c r="C36" s="2">
        <f>C29</f>
        <v>1.088726770423404</v>
      </c>
      <c r="D36" t="s">
        <v>40</v>
      </c>
    </row>
    <row r="38" spans="1:4" ht="18" thickBot="1" x14ac:dyDescent="0.3">
      <c r="A38" t="s">
        <v>12</v>
      </c>
      <c r="B38" t="s">
        <v>47</v>
      </c>
      <c r="C38" s="4">
        <f>C33/(C36*C34-C35)</f>
        <v>100.30247228610735</v>
      </c>
      <c r="D38" s="5" t="s">
        <v>48</v>
      </c>
    </row>
    <row r="39" spans="1:4" ht="15.75" thickTop="1" x14ac:dyDescent="0.25"/>
  </sheetData>
  <pageMargins left="0.70000000000000007" right="0.70000000000000007" top="0.78740157500000008" bottom="0.78740157500000008" header="0.30000000000000004" footer="0.30000000000000004"/>
  <pageSetup paperSize="0" fitToWidth="0" fitToHeight="0" orientation="portrait" horizontalDpi="0" verticalDpi="0" copie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zoomScale="115" zoomScaleNormal="115" workbookViewId="0">
      <selection activeCell="C6" sqref="C6"/>
    </sheetView>
  </sheetViews>
  <sheetFormatPr baseColWidth="10" defaultColWidth="11.42578125" defaultRowHeight="15" x14ac:dyDescent="0.25"/>
  <cols>
    <col min="1" max="1" width="11.42578125" customWidth="1"/>
    <col min="2" max="2" width="30.28515625" bestFit="1" customWidth="1"/>
    <col min="3" max="3" width="12" style="2" bestFit="1" customWidth="1"/>
    <col min="4" max="4" width="13" bestFit="1" customWidth="1"/>
    <col min="5" max="6" width="11.42578125" customWidth="1"/>
    <col min="7" max="7" width="27.85546875" bestFit="1" customWidth="1"/>
    <col min="8" max="8" width="11.42578125" customWidth="1"/>
  </cols>
  <sheetData>
    <row r="1" spans="1:4" ht="18.75" x14ac:dyDescent="0.3">
      <c r="A1" s="1" t="s">
        <v>135</v>
      </c>
    </row>
    <row r="3" spans="1:4" x14ac:dyDescent="0.25">
      <c r="A3" t="s">
        <v>51</v>
      </c>
    </row>
    <row r="5" spans="1:4" ht="17.25" x14ac:dyDescent="0.25">
      <c r="A5" t="s">
        <v>7</v>
      </c>
      <c r="B5" t="s">
        <v>52</v>
      </c>
      <c r="C5" s="2">
        <v>125</v>
      </c>
      <c r="D5" t="s">
        <v>53</v>
      </c>
    </row>
    <row r="6" spans="1:4" x14ac:dyDescent="0.25">
      <c r="B6" t="s">
        <v>54</v>
      </c>
      <c r="C6" s="2">
        <v>9.5</v>
      </c>
      <c r="D6" t="s">
        <v>55</v>
      </c>
    </row>
    <row r="8" spans="1:4" ht="18" thickBot="1" x14ac:dyDescent="0.3">
      <c r="A8" t="s">
        <v>12</v>
      </c>
      <c r="B8" t="s">
        <v>32</v>
      </c>
      <c r="C8" s="4">
        <f>C5*C6</f>
        <v>1187.5</v>
      </c>
      <c r="D8" s="5" t="s">
        <v>48</v>
      </c>
    </row>
    <row r="9" spans="1:4" ht="15.75" thickTop="1" x14ac:dyDescent="0.25"/>
  </sheetData>
  <pageMargins left="0.70000000000000007" right="0.70000000000000007" top="0.78740157500000008" bottom="0.78740157500000008" header="0.30000000000000004" footer="0.30000000000000004"/>
  <pageSetup paperSize="0" fitToWidth="0" fitToHeight="0" orientation="portrait" horizontalDpi="0" verticalDpi="0" copies="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2"/>
  <sheetViews>
    <sheetView workbookViewId="0">
      <selection activeCell="E11" sqref="E11"/>
    </sheetView>
  </sheetViews>
  <sheetFormatPr baseColWidth="10" defaultColWidth="11.42578125" defaultRowHeight="15" x14ac:dyDescent="0.25"/>
  <cols>
    <col min="1" max="1" width="11.42578125" customWidth="1"/>
    <col min="2" max="2" width="33.140625" bestFit="1" customWidth="1"/>
    <col min="3" max="3" width="11.42578125" style="2" customWidth="1"/>
    <col min="4" max="4" width="11.42578125" customWidth="1"/>
  </cols>
  <sheetData>
    <row r="1" spans="1:4" ht="18.75" x14ac:dyDescent="0.3">
      <c r="A1" s="1" t="s">
        <v>56</v>
      </c>
    </row>
    <row r="3" spans="1:4" x14ac:dyDescent="0.25">
      <c r="A3" t="s">
        <v>57</v>
      </c>
    </row>
    <row r="5" spans="1:4" ht="17.25" x14ac:dyDescent="0.25">
      <c r="A5" t="s">
        <v>7</v>
      </c>
      <c r="B5" t="s">
        <v>58</v>
      </c>
      <c r="C5" s="2">
        <v>35</v>
      </c>
      <c r="D5" t="s">
        <v>59</v>
      </c>
    </row>
    <row r="6" spans="1:4" ht="17.25" x14ac:dyDescent="0.25">
      <c r="B6" t="s">
        <v>28</v>
      </c>
      <c r="C6" s="2">
        <v>105.5</v>
      </c>
      <c r="D6" t="s">
        <v>29</v>
      </c>
    </row>
    <row r="8" spans="1:4" x14ac:dyDescent="0.25">
      <c r="A8" t="s">
        <v>12</v>
      </c>
      <c r="B8" t="s">
        <v>57</v>
      </c>
      <c r="C8" s="2">
        <f>C6*C5</f>
        <v>3692.5</v>
      </c>
      <c r="D8" t="s">
        <v>60</v>
      </c>
    </row>
    <row r="10" spans="1:4" x14ac:dyDescent="0.25">
      <c r="A10" t="s">
        <v>61</v>
      </c>
    </row>
    <row r="12" spans="1:4" x14ac:dyDescent="0.25">
      <c r="A12" t="s">
        <v>7</v>
      </c>
      <c r="B12" t="s">
        <v>57</v>
      </c>
      <c r="C12" s="2">
        <f>C8</f>
        <v>3692.5</v>
      </c>
      <c r="D12" t="s">
        <v>60</v>
      </c>
    </row>
    <row r="13" spans="1:4" ht="17.25" x14ac:dyDescent="0.25">
      <c r="B13" t="s">
        <v>62</v>
      </c>
      <c r="C13" s="2">
        <v>45.5</v>
      </c>
      <c r="D13" t="s">
        <v>29</v>
      </c>
    </row>
    <row r="15" spans="1:4" ht="17.25" x14ac:dyDescent="0.25">
      <c r="B15" t="s">
        <v>63</v>
      </c>
      <c r="C15" s="2">
        <f>C12/C13</f>
        <v>81.15384615384616</v>
      </c>
      <c r="D15" t="s">
        <v>59</v>
      </c>
    </row>
    <row r="18" spans="1:4" ht="17.25" x14ac:dyDescent="0.25">
      <c r="B18" t="s">
        <v>64</v>
      </c>
      <c r="C18" s="2">
        <v>70</v>
      </c>
      <c r="D18" t="s">
        <v>59</v>
      </c>
    </row>
    <row r="19" spans="1:4" ht="17.25" x14ac:dyDescent="0.25">
      <c r="B19" t="s">
        <v>62</v>
      </c>
      <c r="C19" s="2">
        <f>C13</f>
        <v>45.5</v>
      </c>
      <c r="D19" t="s">
        <v>29</v>
      </c>
    </row>
    <row r="20" spans="1:4" x14ac:dyDescent="0.25">
      <c r="B20" t="s">
        <v>65</v>
      </c>
      <c r="C20" s="2">
        <f>C19*C18</f>
        <v>3185</v>
      </c>
      <c r="D20" t="s">
        <v>60</v>
      </c>
    </row>
    <row r="22" spans="1:4" x14ac:dyDescent="0.25">
      <c r="B22" t="s">
        <v>57</v>
      </c>
      <c r="C22" s="2">
        <f>C12</f>
        <v>3692.5</v>
      </c>
      <c r="D22" t="s">
        <v>60</v>
      </c>
    </row>
    <row r="23" spans="1:4" x14ac:dyDescent="0.25">
      <c r="B23" t="s">
        <v>66</v>
      </c>
      <c r="C23" s="2">
        <f>C20</f>
        <v>3185</v>
      </c>
      <c r="D23" t="s">
        <v>60</v>
      </c>
    </row>
    <row r="24" spans="1:4" x14ac:dyDescent="0.25">
      <c r="A24" t="s">
        <v>12</v>
      </c>
      <c r="B24" t="s">
        <v>67</v>
      </c>
      <c r="C24" s="2">
        <f>C22-C23</f>
        <v>507.5</v>
      </c>
      <c r="D24" t="s">
        <v>60</v>
      </c>
    </row>
    <row r="26" spans="1:4" x14ac:dyDescent="0.25">
      <c r="A26" t="s">
        <v>38</v>
      </c>
    </row>
    <row r="28" spans="1:4" ht="17.25" x14ac:dyDescent="0.25">
      <c r="A28" t="s">
        <v>7</v>
      </c>
      <c r="B28" t="s">
        <v>39</v>
      </c>
      <c r="C28" s="2">
        <v>1.2929999999999999</v>
      </c>
      <c r="D28" t="s">
        <v>40</v>
      </c>
    </row>
    <row r="29" spans="1:4" x14ac:dyDescent="0.25">
      <c r="B29" t="s">
        <v>68</v>
      </c>
      <c r="C29" s="2">
        <v>15</v>
      </c>
      <c r="D29" t="s">
        <v>15</v>
      </c>
    </row>
    <row r="30" spans="1:4" x14ac:dyDescent="0.25">
      <c r="B30" t="s">
        <v>50</v>
      </c>
      <c r="C30" s="2">
        <v>950</v>
      </c>
      <c r="D30" t="s">
        <v>17</v>
      </c>
    </row>
    <row r="32" spans="1:4" ht="17.25" x14ac:dyDescent="0.25">
      <c r="A32" t="s">
        <v>12</v>
      </c>
      <c r="B32" t="s">
        <v>43</v>
      </c>
      <c r="C32" s="2">
        <f>C28*(273.15/(273.15+C29))*(C30/1013.25)</f>
        <v>1.1491801048907799</v>
      </c>
      <c r="D32" t="s">
        <v>40</v>
      </c>
    </row>
    <row r="34" spans="1:4" x14ac:dyDescent="0.25">
      <c r="A34" t="s">
        <v>69</v>
      </c>
    </row>
    <row r="36" spans="1:4" x14ac:dyDescent="0.25">
      <c r="A36" t="s">
        <v>7</v>
      </c>
      <c r="B36" t="s">
        <v>67</v>
      </c>
      <c r="C36" s="2">
        <f>C24</f>
        <v>507.5</v>
      </c>
      <c r="D36" t="s">
        <v>60</v>
      </c>
    </row>
    <row r="37" spans="1:4" x14ac:dyDescent="0.25">
      <c r="B37" t="s">
        <v>70</v>
      </c>
      <c r="C37" s="2">
        <v>1006</v>
      </c>
      <c r="D37" t="s">
        <v>71</v>
      </c>
    </row>
    <row r="38" spans="1:4" x14ac:dyDescent="0.25">
      <c r="B38" t="s">
        <v>72</v>
      </c>
      <c r="C38" s="2">
        <v>1</v>
      </c>
      <c r="D38" t="s">
        <v>73</v>
      </c>
    </row>
    <row r="39" spans="1:4" ht="17.25" x14ac:dyDescent="0.25">
      <c r="B39" t="s">
        <v>43</v>
      </c>
      <c r="C39" s="2">
        <f>C32</f>
        <v>1.1491801048907799</v>
      </c>
      <c r="D39" t="s">
        <v>40</v>
      </c>
    </row>
    <row r="41" spans="1:4" ht="18" thickBot="1" x14ac:dyDescent="0.3">
      <c r="A41" t="s">
        <v>12</v>
      </c>
      <c r="B41" t="s">
        <v>74</v>
      </c>
      <c r="C41" s="4">
        <f>(C36*3600)/(C37*C38*C39)</f>
        <v>1580.3470422021232</v>
      </c>
      <c r="D41" s="5" t="s">
        <v>48</v>
      </c>
    </row>
    <row r="42" spans="1:4" ht="15.75" thickTop="1" x14ac:dyDescent="0.25"/>
  </sheetData>
  <pageMargins left="0.70000000000000007" right="0.70000000000000007" top="0.78740157500000008" bottom="0.78740157500000008" header="0.30000000000000004" footer="0.30000000000000004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workbookViewId="0">
      <selection activeCell="F18" sqref="F18"/>
    </sheetView>
  </sheetViews>
  <sheetFormatPr baseColWidth="10" defaultColWidth="11.42578125" defaultRowHeight="15" x14ac:dyDescent="0.25"/>
  <cols>
    <col min="1" max="1" width="11.42578125" customWidth="1"/>
    <col min="2" max="2" width="28.5703125" bestFit="1" customWidth="1"/>
    <col min="3" max="3" width="6" bestFit="1" customWidth="1"/>
    <col min="4" max="4" width="11.42578125" customWidth="1"/>
  </cols>
  <sheetData>
    <row r="1" spans="1:4" ht="18.75" x14ac:dyDescent="0.3">
      <c r="A1" s="1" t="s">
        <v>75</v>
      </c>
    </row>
    <row r="3" spans="1:4" x14ac:dyDescent="0.25">
      <c r="A3" t="s">
        <v>76</v>
      </c>
    </row>
    <row r="5" spans="1:4" ht="17.25" x14ac:dyDescent="0.25">
      <c r="A5" t="s">
        <v>7</v>
      </c>
      <c r="B5" t="s">
        <v>77</v>
      </c>
      <c r="C5">
        <v>5</v>
      </c>
      <c r="D5" t="s">
        <v>78</v>
      </c>
    </row>
    <row r="6" spans="1:4" ht="17.25" x14ac:dyDescent="0.25">
      <c r="B6" t="s">
        <v>62</v>
      </c>
      <c r="C6">
        <v>60</v>
      </c>
      <c r="D6" t="s">
        <v>29</v>
      </c>
    </row>
    <row r="8" spans="1:4" x14ac:dyDescent="0.25">
      <c r="A8" t="s">
        <v>12</v>
      </c>
      <c r="B8" t="s">
        <v>79</v>
      </c>
      <c r="C8" s="6">
        <f>C6/C5</f>
        <v>12</v>
      </c>
      <c r="D8" t="s">
        <v>80</v>
      </c>
    </row>
    <row r="10" spans="1:4" x14ac:dyDescent="0.25">
      <c r="A10" t="s">
        <v>81</v>
      </c>
    </row>
    <row r="12" spans="1:4" ht="17.25" x14ac:dyDescent="0.25">
      <c r="B12" t="s">
        <v>138</v>
      </c>
      <c r="C12">
        <v>50</v>
      </c>
      <c r="D12" t="s">
        <v>82</v>
      </c>
    </row>
    <row r="13" spans="1:4" x14ac:dyDescent="0.25">
      <c r="B13" t="s">
        <v>79</v>
      </c>
      <c r="C13" s="6">
        <f>C8</f>
        <v>12</v>
      </c>
      <c r="D13" t="s">
        <v>80</v>
      </c>
    </row>
    <row r="14" spans="1:4" ht="18" thickBot="1" x14ac:dyDescent="0.3">
      <c r="B14" t="s">
        <v>83</v>
      </c>
      <c r="C14" s="5">
        <f>C13*C12</f>
        <v>600</v>
      </c>
      <c r="D14" s="5" t="s">
        <v>48</v>
      </c>
    </row>
    <row r="15" spans="1:4" ht="15.75" thickTop="1" x14ac:dyDescent="0.25"/>
  </sheetData>
  <pageMargins left="0.70000000000000007" right="0.70000000000000007" top="0.78740157500000008" bottom="0.78740157500000008" header="0.30000000000000004" footer="0.30000000000000004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A3" workbookViewId="0">
      <selection activeCell="E17" sqref="E17"/>
    </sheetView>
  </sheetViews>
  <sheetFormatPr baseColWidth="10" defaultColWidth="11.42578125" defaultRowHeight="15" x14ac:dyDescent="0.25"/>
  <cols>
    <col min="1" max="1" width="11.42578125" customWidth="1"/>
  </cols>
  <sheetData>
    <row r="1" spans="1:1" ht="18.75" x14ac:dyDescent="0.3">
      <c r="A1" s="1" t="s">
        <v>84</v>
      </c>
    </row>
  </sheetData>
  <pageMargins left="0.70000000000000007" right="0.70000000000000007" top="0.78740157500000008" bottom="0.78740157500000008" header="0.30000000000000004" footer="0.30000000000000004"/>
  <pageSetup paperSize="0" fitToWidth="0" fitToHeight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3"/>
  <sheetViews>
    <sheetView workbookViewId="0"/>
  </sheetViews>
  <sheetFormatPr baseColWidth="10" defaultColWidth="11.42578125" defaultRowHeight="15" x14ac:dyDescent="0.25"/>
  <cols>
    <col min="1" max="1" width="11.42578125" customWidth="1"/>
  </cols>
  <sheetData>
    <row r="1" spans="1:1" ht="18.75" x14ac:dyDescent="0.3">
      <c r="A1" s="1" t="s">
        <v>84</v>
      </c>
    </row>
    <row r="3" spans="1:1" x14ac:dyDescent="0.25">
      <c r="A3" t="s">
        <v>85</v>
      </c>
    </row>
    <row r="19" spans="1:1" x14ac:dyDescent="0.25">
      <c r="A19" t="s">
        <v>86</v>
      </c>
    </row>
    <row r="30" spans="1:1" x14ac:dyDescent="0.25">
      <c r="A30" t="s">
        <v>87</v>
      </c>
    </row>
    <row r="43" spans="1:1" x14ac:dyDescent="0.25">
      <c r="A43" t="s">
        <v>88</v>
      </c>
    </row>
  </sheetData>
  <pageMargins left="0.70000000000000007" right="0.70000000000000007" top="0.78740157500000008" bottom="0.78740157500000008" header="0.30000000000000004" footer="0.3000000000000000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8"/>
  <sheetViews>
    <sheetView topLeftCell="A6" workbookViewId="0">
      <selection activeCell="I28" sqref="I28"/>
    </sheetView>
  </sheetViews>
  <sheetFormatPr baseColWidth="10" defaultColWidth="11.42578125" defaultRowHeight="15" x14ac:dyDescent="0.25"/>
  <cols>
    <col min="1" max="1" width="4.5703125" customWidth="1"/>
    <col min="2" max="2" width="41.140625" bestFit="1" customWidth="1"/>
    <col min="3" max="3" width="8.42578125" bestFit="1" customWidth="1"/>
    <col min="4" max="4" width="8.5703125" bestFit="1" customWidth="1"/>
    <col min="5" max="5" width="11.42578125" customWidth="1"/>
  </cols>
  <sheetData>
    <row r="1" spans="1:4" ht="18.75" x14ac:dyDescent="0.3">
      <c r="A1" s="1" t="s">
        <v>84</v>
      </c>
    </row>
    <row r="3" spans="1:4" x14ac:dyDescent="0.25">
      <c r="A3" s="7" t="s">
        <v>85</v>
      </c>
    </row>
    <row r="5" spans="1:4" x14ac:dyDescent="0.25">
      <c r="B5" t="s">
        <v>89</v>
      </c>
    </row>
    <row r="7" spans="1:4" ht="17.25" x14ac:dyDescent="0.25">
      <c r="A7" t="s">
        <v>7</v>
      </c>
      <c r="B7" t="s">
        <v>90</v>
      </c>
      <c r="C7">
        <v>30</v>
      </c>
      <c r="D7" t="s">
        <v>91</v>
      </c>
    </row>
    <row r="8" spans="1:4" ht="17.25" x14ac:dyDescent="0.25">
      <c r="B8" t="s">
        <v>83</v>
      </c>
      <c r="C8" s="2">
        <f>Volumenstrom_Badebetrieb!C67</f>
        <v>72.102370460921065</v>
      </c>
      <c r="D8" t="s">
        <v>1</v>
      </c>
    </row>
    <row r="10" spans="1:4" x14ac:dyDescent="0.25">
      <c r="A10" t="s">
        <v>12</v>
      </c>
      <c r="B10" t="s">
        <v>92</v>
      </c>
      <c r="C10">
        <f>C8*C7</f>
        <v>2163.071113827632</v>
      </c>
      <c r="D10" t="s">
        <v>93</v>
      </c>
    </row>
    <row r="11" spans="1:4" x14ac:dyDescent="0.25">
      <c r="B11" t="s">
        <v>94</v>
      </c>
      <c r="C11">
        <v>10000</v>
      </c>
      <c r="D11" t="s">
        <v>93</v>
      </c>
    </row>
    <row r="12" spans="1:4" x14ac:dyDescent="0.25">
      <c r="B12" t="s">
        <v>95</v>
      </c>
      <c r="C12">
        <f>C11+C10</f>
        <v>12163.071113827631</v>
      </c>
      <c r="D12" t="s">
        <v>93</v>
      </c>
    </row>
    <row r="15" spans="1:4" x14ac:dyDescent="0.25">
      <c r="B15" s="3" t="s">
        <v>96</v>
      </c>
    </row>
    <row r="17" spans="1:4" x14ac:dyDescent="0.25">
      <c r="A17" t="s">
        <v>7</v>
      </c>
      <c r="B17" t="s">
        <v>97</v>
      </c>
      <c r="C17">
        <v>0.9</v>
      </c>
    </row>
    <row r="18" spans="1:4" x14ac:dyDescent="0.25">
      <c r="B18" t="s">
        <v>98</v>
      </c>
      <c r="C18">
        <f>C12</f>
        <v>12163.071113827631</v>
      </c>
      <c r="D18" t="s">
        <v>93</v>
      </c>
    </row>
    <row r="20" spans="1:4" x14ac:dyDescent="0.25">
      <c r="A20" t="s">
        <v>12</v>
      </c>
      <c r="B20" t="s">
        <v>99</v>
      </c>
    </row>
    <row r="23" spans="1:4" x14ac:dyDescent="0.25">
      <c r="B23" t="s">
        <v>100</v>
      </c>
    </row>
    <row r="25" spans="1:4" x14ac:dyDescent="0.25">
      <c r="A25" t="s">
        <v>7</v>
      </c>
      <c r="B25" t="s">
        <v>101</v>
      </c>
      <c r="C25" s="6">
        <v>2</v>
      </c>
      <c r="D25" t="s">
        <v>102</v>
      </c>
    </row>
    <row r="27" spans="1:4" x14ac:dyDescent="0.25">
      <c r="A27" t="s">
        <v>12</v>
      </c>
      <c r="B27" t="s">
        <v>103</v>
      </c>
      <c r="C27">
        <f>C25*(C20/100)</f>
        <v>0</v>
      </c>
      <c r="D27" t="s">
        <v>93</v>
      </c>
    </row>
    <row r="30" spans="1:4" x14ac:dyDescent="0.25">
      <c r="B30" s="3" t="s">
        <v>104</v>
      </c>
    </row>
    <row r="32" spans="1:4" x14ac:dyDescent="0.25">
      <c r="A32" t="s">
        <v>7</v>
      </c>
      <c r="B32" t="s">
        <v>105</v>
      </c>
      <c r="C32">
        <v>728</v>
      </c>
      <c r="D32" t="s">
        <v>106</v>
      </c>
    </row>
    <row r="33" spans="1:4" x14ac:dyDescent="0.25">
      <c r="B33" t="s">
        <v>107</v>
      </c>
      <c r="C33">
        <v>8008</v>
      </c>
      <c r="D33" t="s">
        <v>106</v>
      </c>
    </row>
    <row r="35" spans="1:4" x14ac:dyDescent="0.25">
      <c r="B35" t="s">
        <v>108</v>
      </c>
      <c r="C35" s="3">
        <v>0.2</v>
      </c>
      <c r="D35" t="s">
        <v>109</v>
      </c>
    </row>
    <row r="37" spans="1:4" x14ac:dyDescent="0.25">
      <c r="B37" t="s">
        <v>110</v>
      </c>
      <c r="C37">
        <f>C35*C32</f>
        <v>145.6</v>
      </c>
      <c r="D37" t="s">
        <v>93</v>
      </c>
    </row>
    <row r="38" spans="1:4" x14ac:dyDescent="0.25">
      <c r="B38" t="s">
        <v>111</v>
      </c>
      <c r="C38">
        <f>C35*C33</f>
        <v>1601.6000000000001</v>
      </c>
      <c r="D38" t="s">
        <v>93</v>
      </c>
    </row>
    <row r="40" spans="1:4" x14ac:dyDescent="0.25">
      <c r="B40" t="s">
        <v>112</v>
      </c>
      <c r="C40">
        <f>C38+C37</f>
        <v>1747.2</v>
      </c>
      <c r="D40" t="s">
        <v>93</v>
      </c>
    </row>
    <row r="43" spans="1:4" x14ac:dyDescent="0.25">
      <c r="A43" s="7" t="s">
        <v>86</v>
      </c>
    </row>
    <row r="45" spans="1:4" x14ac:dyDescent="0.25">
      <c r="B45" t="s">
        <v>89</v>
      </c>
    </row>
    <row r="47" spans="1:4" ht="17.25" x14ac:dyDescent="0.25">
      <c r="A47" t="s">
        <v>7</v>
      </c>
      <c r="B47" t="s">
        <v>90</v>
      </c>
      <c r="C47">
        <v>32</v>
      </c>
      <c r="D47" t="s">
        <v>91</v>
      </c>
    </row>
    <row r="48" spans="1:4" ht="17.25" x14ac:dyDescent="0.25">
      <c r="B48" t="s">
        <v>83</v>
      </c>
      <c r="C48" s="2">
        <f>Volumenstrom_Badebetrieb!C67</f>
        <v>72.102370460921065</v>
      </c>
      <c r="D48" t="s">
        <v>1</v>
      </c>
    </row>
    <row r="50" spans="1:4" x14ac:dyDescent="0.25">
      <c r="A50" t="s">
        <v>12</v>
      </c>
      <c r="B50" t="s">
        <v>92</v>
      </c>
      <c r="C50">
        <f>C48*C47</f>
        <v>2307.2758547494741</v>
      </c>
      <c r="D50" t="s">
        <v>93</v>
      </c>
    </row>
    <row r="51" spans="1:4" x14ac:dyDescent="0.25">
      <c r="B51" t="s">
        <v>113</v>
      </c>
      <c r="C51">
        <v>10000</v>
      </c>
      <c r="D51" t="s">
        <v>93</v>
      </c>
    </row>
    <row r="52" spans="1:4" x14ac:dyDescent="0.25">
      <c r="B52" t="s">
        <v>114</v>
      </c>
      <c r="C52">
        <f>C51+C50</f>
        <v>12307.275854749474</v>
      </c>
      <c r="D52" t="s">
        <v>93</v>
      </c>
    </row>
    <row r="55" spans="1:4" x14ac:dyDescent="0.25">
      <c r="A55" t="s">
        <v>7</v>
      </c>
      <c r="B55" t="s">
        <v>101</v>
      </c>
      <c r="C55" s="6">
        <v>2</v>
      </c>
      <c r="D55" t="s">
        <v>102</v>
      </c>
    </row>
    <row r="57" spans="1:4" x14ac:dyDescent="0.25">
      <c r="A57" t="s">
        <v>12</v>
      </c>
      <c r="B57" t="s">
        <v>103</v>
      </c>
      <c r="C57">
        <f>C52*(C55/100)</f>
        <v>246.14551709498949</v>
      </c>
      <c r="D57" t="s">
        <v>93</v>
      </c>
    </row>
    <row r="60" spans="1:4" x14ac:dyDescent="0.25">
      <c r="A60" t="s">
        <v>115</v>
      </c>
      <c r="C60" s="2"/>
    </row>
    <row r="61" spans="1:4" x14ac:dyDescent="0.25">
      <c r="C61" s="2"/>
    </row>
    <row r="62" spans="1:4" ht="17.25" x14ac:dyDescent="0.25">
      <c r="A62" t="s">
        <v>7</v>
      </c>
      <c r="B62" t="s">
        <v>39</v>
      </c>
      <c r="C62" s="2">
        <v>1.2929999999999999</v>
      </c>
      <c r="D62" t="s">
        <v>40</v>
      </c>
    </row>
    <row r="63" spans="1:4" x14ac:dyDescent="0.25">
      <c r="B63" t="s">
        <v>41</v>
      </c>
      <c r="C63" s="2">
        <v>22</v>
      </c>
      <c r="D63" t="s">
        <v>15</v>
      </c>
    </row>
    <row r="64" spans="1:4" x14ac:dyDescent="0.25">
      <c r="B64" t="s">
        <v>42</v>
      </c>
      <c r="C64" s="2">
        <v>950</v>
      </c>
      <c r="D64" t="s">
        <v>17</v>
      </c>
    </row>
    <row r="65" spans="1:4" x14ac:dyDescent="0.25">
      <c r="C65" s="2"/>
    </row>
    <row r="66" spans="1:4" ht="17.25" x14ac:dyDescent="0.25">
      <c r="A66" t="s">
        <v>12</v>
      </c>
      <c r="B66" t="s">
        <v>43</v>
      </c>
      <c r="C66" s="2">
        <f>C62*(273.15/(273.15+C63))*(C64/1013.25)</f>
        <v>1.1219252828198485</v>
      </c>
      <c r="D66" t="s">
        <v>40</v>
      </c>
    </row>
    <row r="69" spans="1:4" x14ac:dyDescent="0.25">
      <c r="B69" t="s">
        <v>116</v>
      </c>
    </row>
    <row r="71" spans="1:4" x14ac:dyDescent="0.25">
      <c r="A71" t="s">
        <v>7</v>
      </c>
      <c r="B71" t="s">
        <v>105</v>
      </c>
      <c r="C71">
        <v>728</v>
      </c>
      <c r="D71" t="s">
        <v>106</v>
      </c>
    </row>
    <row r="72" spans="1:4" x14ac:dyDescent="0.25">
      <c r="B72" t="s">
        <v>107</v>
      </c>
      <c r="C72">
        <v>8008</v>
      </c>
      <c r="D72" t="s">
        <v>106</v>
      </c>
    </row>
    <row r="73" spans="1:4" x14ac:dyDescent="0.25">
      <c r="B73" t="s">
        <v>117</v>
      </c>
      <c r="C73">
        <v>14</v>
      </c>
      <c r="D73" t="s">
        <v>15</v>
      </c>
    </row>
    <row r="74" spans="1:4" x14ac:dyDescent="0.25">
      <c r="B74" t="s">
        <v>118</v>
      </c>
      <c r="C74">
        <v>-13</v>
      </c>
      <c r="D74" t="s">
        <v>15</v>
      </c>
    </row>
    <row r="75" spans="1:4" ht="17.25" x14ac:dyDescent="0.25">
      <c r="B75" t="s">
        <v>119</v>
      </c>
      <c r="C75" s="2">
        <f>Volumenstrom_Badebetrieb!C67</f>
        <v>72.102370460921065</v>
      </c>
      <c r="D75" t="s">
        <v>1</v>
      </c>
    </row>
    <row r="76" spans="1:4" ht="17.25" x14ac:dyDescent="0.25">
      <c r="B76" t="s">
        <v>120</v>
      </c>
      <c r="C76" s="2">
        <f>Volumenstrom_Ruhebetrieb!C38</f>
        <v>100.30247228610735</v>
      </c>
      <c r="D76" t="s">
        <v>1</v>
      </c>
    </row>
    <row r="77" spans="1:4" ht="17.25" x14ac:dyDescent="0.25">
      <c r="B77" t="s">
        <v>121</v>
      </c>
      <c r="C77" s="2">
        <f>C66</f>
        <v>1.1219252828198485</v>
      </c>
      <c r="D77" t="s">
        <v>40</v>
      </c>
    </row>
    <row r="78" spans="1:4" x14ac:dyDescent="0.25">
      <c r="B78" t="s">
        <v>122</v>
      </c>
      <c r="C78" s="8">
        <v>0.15</v>
      </c>
      <c r="D78" t="s">
        <v>109</v>
      </c>
    </row>
    <row r="79" spans="1:4" x14ac:dyDescent="0.25">
      <c r="B79" t="s">
        <v>123</v>
      </c>
      <c r="C79" s="2">
        <v>80</v>
      </c>
      <c r="D79" t="s">
        <v>102</v>
      </c>
    </row>
    <row r="81" spans="1:4" x14ac:dyDescent="0.25">
      <c r="B81" t="s">
        <v>124</v>
      </c>
      <c r="C81" s="2">
        <f>(C75*C77*1.006*(C73+C74)*C71*((100-C79)/100)/3600)</f>
        <v>3.2913216985367293</v>
      </c>
      <c r="D81" t="s">
        <v>125</v>
      </c>
    </row>
    <row r="82" spans="1:4" x14ac:dyDescent="0.25">
      <c r="B82" t="s">
        <v>126</v>
      </c>
      <c r="C82" s="2">
        <f>(C76*C77*1.006*(C73+C74)*C72*((100-C79)/100)/3600)</f>
        <v>50.364567971337053</v>
      </c>
      <c r="D82" t="s">
        <v>125</v>
      </c>
    </row>
    <row r="84" spans="1:4" x14ac:dyDescent="0.25">
      <c r="B84" t="s">
        <v>127</v>
      </c>
      <c r="C84">
        <f>C81*C78</f>
        <v>0.49369825478050938</v>
      </c>
      <c r="D84" t="s">
        <v>93</v>
      </c>
    </row>
    <row r="85" spans="1:4" x14ac:dyDescent="0.25">
      <c r="B85" t="s">
        <v>128</v>
      </c>
      <c r="C85">
        <f>C82*C78</f>
        <v>7.5546851957005572</v>
      </c>
      <c r="D85" t="s">
        <v>93</v>
      </c>
    </row>
    <row r="87" spans="1:4" x14ac:dyDescent="0.25">
      <c r="B87" t="s">
        <v>129</v>
      </c>
      <c r="C87">
        <f>C85+C84</f>
        <v>8.048383450481067</v>
      </c>
      <c r="D87" t="s">
        <v>93</v>
      </c>
    </row>
    <row r="90" spans="1:4" x14ac:dyDescent="0.25">
      <c r="A90" s="7" t="s">
        <v>130</v>
      </c>
    </row>
    <row r="92" spans="1:4" x14ac:dyDescent="0.25">
      <c r="B92" t="s">
        <v>89</v>
      </c>
    </row>
    <row r="94" spans="1:4" ht="17.25" x14ac:dyDescent="0.25">
      <c r="A94" t="s">
        <v>7</v>
      </c>
      <c r="B94" t="s">
        <v>90</v>
      </c>
      <c r="C94">
        <v>32</v>
      </c>
      <c r="D94" t="s">
        <v>91</v>
      </c>
    </row>
    <row r="95" spans="1:4" ht="17.25" x14ac:dyDescent="0.25">
      <c r="B95" t="s">
        <v>83</v>
      </c>
      <c r="C95" s="2">
        <f>Volumenstrom_Badebetrieb!C114</f>
        <v>0</v>
      </c>
      <c r="D95" t="s">
        <v>1</v>
      </c>
    </row>
    <row r="97" spans="1:4" x14ac:dyDescent="0.25">
      <c r="A97" t="s">
        <v>12</v>
      </c>
      <c r="B97" t="s">
        <v>92</v>
      </c>
      <c r="C97">
        <f>C95*C94</f>
        <v>0</v>
      </c>
      <c r="D97" t="s">
        <v>93</v>
      </c>
    </row>
    <row r="98" spans="1:4" x14ac:dyDescent="0.25">
      <c r="B98" t="s">
        <v>113</v>
      </c>
      <c r="C98">
        <v>10000</v>
      </c>
      <c r="D98" t="s">
        <v>93</v>
      </c>
    </row>
    <row r="99" spans="1:4" x14ac:dyDescent="0.25">
      <c r="B99" t="s">
        <v>114</v>
      </c>
      <c r="C99">
        <f>C98+C97</f>
        <v>10000</v>
      </c>
      <c r="D99" t="s">
        <v>93</v>
      </c>
    </row>
    <row r="102" spans="1:4" x14ac:dyDescent="0.25">
      <c r="A102" t="s">
        <v>7</v>
      </c>
      <c r="B102" t="s">
        <v>101</v>
      </c>
      <c r="C102" s="6">
        <v>2</v>
      </c>
      <c r="D102" t="s">
        <v>102</v>
      </c>
    </row>
    <row r="104" spans="1:4" x14ac:dyDescent="0.25">
      <c r="A104" t="s">
        <v>12</v>
      </c>
      <c r="B104" t="s">
        <v>103</v>
      </c>
      <c r="C104">
        <f>C99*(C102/100)</f>
        <v>200</v>
      </c>
      <c r="D104" t="s">
        <v>93</v>
      </c>
    </row>
    <row r="107" spans="1:4" x14ac:dyDescent="0.25">
      <c r="A107" t="s">
        <v>115</v>
      </c>
      <c r="C107" s="2"/>
    </row>
    <row r="108" spans="1:4" x14ac:dyDescent="0.25">
      <c r="C108" s="2"/>
    </row>
    <row r="109" spans="1:4" ht="17.25" x14ac:dyDescent="0.25">
      <c r="A109" t="s">
        <v>7</v>
      </c>
      <c r="B109" t="s">
        <v>39</v>
      </c>
      <c r="C109" s="2">
        <v>1.2929999999999999</v>
      </c>
      <c r="D109" t="s">
        <v>40</v>
      </c>
    </row>
    <row r="110" spans="1:4" x14ac:dyDescent="0.25">
      <c r="B110" t="s">
        <v>41</v>
      </c>
      <c r="C110" s="2">
        <v>22</v>
      </c>
      <c r="D110" t="s">
        <v>15</v>
      </c>
    </row>
    <row r="111" spans="1:4" x14ac:dyDescent="0.25">
      <c r="B111" t="s">
        <v>42</v>
      </c>
      <c r="C111" s="2">
        <v>950</v>
      </c>
      <c r="D111" t="s">
        <v>17</v>
      </c>
    </row>
    <row r="112" spans="1:4" x14ac:dyDescent="0.25">
      <c r="C112" s="2"/>
    </row>
    <row r="113" spans="1:4" ht="17.25" x14ac:dyDescent="0.25">
      <c r="A113" t="s">
        <v>12</v>
      </c>
      <c r="B113" t="s">
        <v>43</v>
      </c>
      <c r="C113" s="2">
        <f>C109*(273.15/(273.15+C110))*(C111/1013.25)</f>
        <v>1.1219252828198485</v>
      </c>
      <c r="D113" t="s">
        <v>40</v>
      </c>
    </row>
    <row r="116" spans="1:4" x14ac:dyDescent="0.25">
      <c r="B116" t="s">
        <v>116</v>
      </c>
    </row>
    <row r="118" spans="1:4" x14ac:dyDescent="0.25">
      <c r="A118" t="s">
        <v>7</v>
      </c>
      <c r="B118" t="s">
        <v>105</v>
      </c>
      <c r="C118">
        <v>728</v>
      </c>
      <c r="D118" t="s">
        <v>106</v>
      </c>
    </row>
    <row r="119" spans="1:4" x14ac:dyDescent="0.25">
      <c r="B119" t="s">
        <v>107</v>
      </c>
      <c r="C119">
        <v>8008</v>
      </c>
      <c r="D119" t="s">
        <v>106</v>
      </c>
    </row>
    <row r="120" spans="1:4" x14ac:dyDescent="0.25">
      <c r="B120" t="s">
        <v>117</v>
      </c>
      <c r="C120">
        <v>14</v>
      </c>
      <c r="D120" t="s">
        <v>15</v>
      </c>
    </row>
    <row r="121" spans="1:4" x14ac:dyDescent="0.25">
      <c r="B121" t="s">
        <v>118</v>
      </c>
      <c r="C121">
        <v>-13</v>
      </c>
      <c r="D121" t="s">
        <v>15</v>
      </c>
    </row>
    <row r="122" spans="1:4" ht="17.25" x14ac:dyDescent="0.25">
      <c r="B122" t="s">
        <v>119</v>
      </c>
      <c r="C122" s="2">
        <f>Volumenstrom_Badebetrieb!C114</f>
        <v>0</v>
      </c>
      <c r="D122" t="s">
        <v>1</v>
      </c>
    </row>
    <row r="123" spans="1:4" ht="17.25" x14ac:dyDescent="0.25">
      <c r="B123" t="s">
        <v>120</v>
      </c>
      <c r="C123" s="2">
        <f>Volumenstrom_Ruhebetrieb!C85</f>
        <v>0</v>
      </c>
      <c r="D123" t="s">
        <v>1</v>
      </c>
    </row>
    <row r="124" spans="1:4" ht="17.25" x14ac:dyDescent="0.25">
      <c r="B124" t="s">
        <v>121</v>
      </c>
      <c r="C124" s="2">
        <f>C113</f>
        <v>1.1219252828198485</v>
      </c>
      <c r="D124" t="s">
        <v>40</v>
      </c>
    </row>
    <row r="125" spans="1:4" x14ac:dyDescent="0.25">
      <c r="B125" t="s">
        <v>122</v>
      </c>
      <c r="C125" s="8">
        <v>0.15</v>
      </c>
      <c r="D125" t="s">
        <v>109</v>
      </c>
    </row>
    <row r="126" spans="1:4" x14ac:dyDescent="0.25">
      <c r="B126" t="s">
        <v>123</v>
      </c>
      <c r="C126" s="2">
        <v>80</v>
      </c>
      <c r="D126" t="s">
        <v>102</v>
      </c>
    </row>
    <row r="128" spans="1:4" x14ac:dyDescent="0.25">
      <c r="B128" t="s">
        <v>124</v>
      </c>
      <c r="C128" s="2">
        <f>(C122*C124*1.006*(C120+C121)*C118*((100-C126)/100)/3600)</f>
        <v>0</v>
      </c>
      <c r="D128" t="s">
        <v>125</v>
      </c>
    </row>
    <row r="129" spans="1:4" x14ac:dyDescent="0.25">
      <c r="B129" t="s">
        <v>126</v>
      </c>
      <c r="C129" s="2">
        <f>(C123*C124*1.006*(C120+C121)*C119*((100-C126)/100)/3600)</f>
        <v>0</v>
      </c>
      <c r="D129" t="s">
        <v>125</v>
      </c>
    </row>
    <row r="131" spans="1:4" x14ac:dyDescent="0.25">
      <c r="B131" t="s">
        <v>127</v>
      </c>
      <c r="C131">
        <f>C128*C125</f>
        <v>0</v>
      </c>
      <c r="D131" t="s">
        <v>93</v>
      </c>
    </row>
    <row r="132" spans="1:4" x14ac:dyDescent="0.25">
      <c r="B132" t="s">
        <v>128</v>
      </c>
      <c r="C132">
        <f>C129*C125</f>
        <v>0</v>
      </c>
      <c r="D132" t="s">
        <v>93</v>
      </c>
    </row>
    <row r="134" spans="1:4" x14ac:dyDescent="0.25">
      <c r="B134" t="s">
        <v>129</v>
      </c>
      <c r="C134">
        <f>C132+C131</f>
        <v>0</v>
      </c>
      <c r="D134" t="s">
        <v>93</v>
      </c>
    </row>
    <row r="135" spans="1:4" x14ac:dyDescent="0.25">
      <c r="B135" t="s">
        <v>42</v>
      </c>
      <c r="C135" s="2">
        <v>950</v>
      </c>
      <c r="D135" t="s">
        <v>17</v>
      </c>
    </row>
    <row r="136" spans="1:4" x14ac:dyDescent="0.25">
      <c r="C136" s="2"/>
    </row>
    <row r="137" spans="1:4" ht="17.25" x14ac:dyDescent="0.25">
      <c r="A137" t="s">
        <v>12</v>
      </c>
      <c r="B137" t="s">
        <v>43</v>
      </c>
      <c r="C137" s="2">
        <f>C133*(273.15/(273.15+C134))*(C135/1013.25)</f>
        <v>0</v>
      </c>
      <c r="D137" t="s">
        <v>40</v>
      </c>
    </row>
    <row r="140" spans="1:4" x14ac:dyDescent="0.25">
      <c r="B140" t="s">
        <v>116</v>
      </c>
    </row>
    <row r="142" spans="1:4" x14ac:dyDescent="0.25">
      <c r="A142" t="s">
        <v>7</v>
      </c>
      <c r="B142" t="s">
        <v>105</v>
      </c>
      <c r="C142">
        <v>728</v>
      </c>
      <c r="D142" t="s">
        <v>106</v>
      </c>
    </row>
    <row r="143" spans="1:4" x14ac:dyDescent="0.25">
      <c r="B143" t="s">
        <v>107</v>
      </c>
      <c r="C143">
        <v>8008</v>
      </c>
      <c r="D143" t="s">
        <v>106</v>
      </c>
    </row>
    <row r="144" spans="1:4" x14ac:dyDescent="0.25">
      <c r="B144" t="s">
        <v>117</v>
      </c>
      <c r="C144">
        <v>14</v>
      </c>
      <c r="D144" t="s">
        <v>15</v>
      </c>
    </row>
    <row r="145" spans="2:4" x14ac:dyDescent="0.25">
      <c r="B145" t="s">
        <v>118</v>
      </c>
      <c r="C145">
        <v>-13</v>
      </c>
      <c r="D145" t="s">
        <v>15</v>
      </c>
    </row>
    <row r="146" spans="2:4" ht="17.25" x14ac:dyDescent="0.25">
      <c r="B146" t="s">
        <v>119</v>
      </c>
      <c r="C146" s="2">
        <f>Volumenstrom_Badebetrieb!C123</f>
        <v>0</v>
      </c>
      <c r="D146" t="s">
        <v>1</v>
      </c>
    </row>
    <row r="147" spans="2:4" ht="17.25" x14ac:dyDescent="0.25">
      <c r="B147" t="s">
        <v>120</v>
      </c>
      <c r="C147" s="2">
        <f>Volumenstrom_Ruhebetrieb!C94</f>
        <v>0</v>
      </c>
      <c r="D147" t="s">
        <v>1</v>
      </c>
    </row>
    <row r="148" spans="2:4" ht="17.25" x14ac:dyDescent="0.25">
      <c r="B148" t="s">
        <v>121</v>
      </c>
      <c r="C148" s="2">
        <f>C137</f>
        <v>0</v>
      </c>
      <c r="D148" t="s">
        <v>40</v>
      </c>
    </row>
    <row r="149" spans="2:4" x14ac:dyDescent="0.25">
      <c r="B149" t="s">
        <v>122</v>
      </c>
      <c r="C149" s="8">
        <v>0.2</v>
      </c>
      <c r="D149" t="s">
        <v>109</v>
      </c>
    </row>
    <row r="150" spans="2:4" x14ac:dyDescent="0.25">
      <c r="B150" t="s">
        <v>123</v>
      </c>
      <c r="C150" s="2">
        <v>80</v>
      </c>
      <c r="D150" t="s">
        <v>102</v>
      </c>
    </row>
    <row r="152" spans="2:4" x14ac:dyDescent="0.25">
      <c r="B152" t="s">
        <v>124</v>
      </c>
      <c r="C152" s="2">
        <f>(C146*C148*1.006*(C144+C145)*C142*((100-C150)/100)/3600)</f>
        <v>0</v>
      </c>
      <c r="D152" t="s">
        <v>125</v>
      </c>
    </row>
    <row r="153" spans="2:4" x14ac:dyDescent="0.25">
      <c r="B153" t="s">
        <v>126</v>
      </c>
      <c r="C153" s="2">
        <f>(C147*C148*1.006*(C144+C145)*C143*((100-C150)/100)/3600)</f>
        <v>0</v>
      </c>
      <c r="D153" t="s">
        <v>125</v>
      </c>
    </row>
    <row r="155" spans="2:4" x14ac:dyDescent="0.25">
      <c r="B155" t="s">
        <v>127</v>
      </c>
      <c r="C155">
        <f>C152*C149</f>
        <v>0</v>
      </c>
      <c r="D155" t="s">
        <v>93</v>
      </c>
    </row>
    <row r="156" spans="2:4" x14ac:dyDescent="0.25">
      <c r="B156" t="s">
        <v>128</v>
      </c>
      <c r="C156">
        <f>C153*C149</f>
        <v>0</v>
      </c>
      <c r="D156" t="s">
        <v>93</v>
      </c>
    </row>
    <row r="158" spans="2:4" x14ac:dyDescent="0.25">
      <c r="B158" t="s">
        <v>131</v>
      </c>
      <c r="C158">
        <f>C156+C155</f>
        <v>0</v>
      </c>
      <c r="D158" t="s">
        <v>93</v>
      </c>
    </row>
  </sheetData>
  <pageMargins left="0.70000000000000007" right="0.70000000000000007" top="0.78740157500000008" bottom="0.78740157500000008" header="0.30000000000000004" footer="0.30000000000000004"/>
  <pageSetup paperSize="0" fitToWidth="0" fitToHeight="0" orientation="portrait" horizontalDpi="0" verticalDpi="0" copies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ColWidth="11.42578125" defaultRowHeight="15" x14ac:dyDescent="0.25"/>
  <cols>
    <col min="1" max="1" width="11.42578125" customWidth="1"/>
  </cols>
  <sheetData>
    <row r="1" spans="1:1" ht="18.75" x14ac:dyDescent="0.3">
      <c r="A1" s="1" t="s">
        <v>84</v>
      </c>
    </row>
  </sheetData>
  <pageMargins left="0.70000000000000007" right="0.70000000000000007" top="0.78740157500000008" bottom="0.78740157500000008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Zusammenfassung_Volumenströme</vt:lpstr>
      <vt:lpstr>Volumenstrom_Badebetrieb</vt:lpstr>
      <vt:lpstr>Volumenstrom_Ruhebetrieb</vt:lpstr>
      <vt:lpstr>Min_Volumenstrom_für_Fenster</vt:lpstr>
      <vt:lpstr>Volumenstrom_über_Wärmeanfall</vt:lpstr>
      <vt:lpstr>Volumenstrom_nach_Personenbeleg</vt:lpstr>
      <vt:lpstr>Zusammenfassung_Kosten</vt:lpstr>
      <vt:lpstr>Jahresenergiebedarf</vt:lpstr>
      <vt:lpstr>Wartungs-,_Instanhaltungskosten</vt:lpstr>
      <vt:lpstr>Jahresgesamtkosten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Remo Graf</dc:creator>
  <dc:description/>
  <cp:lastModifiedBy>Tamay Altikardes</cp:lastModifiedBy>
  <cp:lastPrinted>2023-03-12T18:01:46Z</cp:lastPrinted>
  <dcterms:created xsi:type="dcterms:W3CDTF">2012-11-29T14:52:06Z</dcterms:created>
  <dcterms:modified xsi:type="dcterms:W3CDTF">2025-03-11T09:56:42Z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0x01010058A1EA0571C63549B41A8358C4A2F921</vt:lpwstr>
  </property>
</Properties>
</file>